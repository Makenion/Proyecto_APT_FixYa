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ias de Riesgos" sheetId="1" r:id="rId4"/>
    <sheet state="visible" name="Riesgos Negativos" sheetId="2" r:id="rId5"/>
    <sheet state="hidden" name="Categorias" sheetId="3" r:id="rId6"/>
    <sheet state="hidden" name="a" sheetId="4" r:id="rId7"/>
    <sheet state="hidden" name="SubCategoria" sheetId="5" r:id="rId8"/>
    <sheet state="hidden" name="SubCategoriaPositivos" sheetId="6" r:id="rId9"/>
    <sheet state="hidden" name="Transversal Etapas" sheetId="7" r:id="rId10"/>
  </sheets>
  <definedNames>
    <definedName name="Tecnico">Categorias!$D$5:$G$5</definedName>
    <definedName name="DirecciondeProyectos">Categorias!$E$8:$G$8</definedName>
    <definedName name="Externo">Categorias!$D$6:$G$6</definedName>
    <definedName name="Organizacional">Categorias!$E$7:$G$7</definedName>
  </definedNames>
  <calcPr/>
  <extLst>
    <ext uri="GoogleSheetsCustomDataVersion2">
      <go:sheetsCustomData xmlns:go="http://customooxmlschemas.google.com/" r:id="rId11" roundtripDataChecksum="8Jy4ubhyjjKBTkqgN9LqVFmEcG9uiil1Dj3sb5FzD9k="/>
    </ext>
  </extLst>
</workbook>
</file>

<file path=xl/sharedStrings.xml><?xml version="1.0" encoding="utf-8"?>
<sst xmlns="http://schemas.openxmlformats.org/spreadsheetml/2006/main" count="2259" uniqueCount="677">
  <si>
    <t>REGISTRO DE RIESGOS</t>
  </si>
  <si>
    <t>Información General del Proyecto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</si>
  <si>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ID Proyecto</t>
    </r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</si>
  <si>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Nombre del Proyecto</t>
    </r>
  </si>
  <si>
    <t>FixYa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</si>
  <si>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Director del Proyecto</t>
    </r>
  </si>
  <si>
    <t>Nicolas Hernandez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</si>
  <si>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Gerente de Proyecto</t>
    </r>
  </si>
  <si>
    <t>Esteban Tamayo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</si>
  <si>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Fecha de Inicio</t>
    </r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</si>
  <si>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Fecha de Fin </t>
    </r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</si>
  <si>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Cliente </t>
    </r>
  </si>
  <si>
    <t>ServicSat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</si>
  <si>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Área:</t>
    </r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</si>
  <si>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Sponsor</t>
    </r>
  </si>
  <si>
    <t>Cristian Sat</t>
  </si>
  <si>
    <t>REFERENCIAS del PLAN DE GESTIÓN DE RIESGOS</t>
  </si>
  <si>
    <t>Impacto</t>
  </si>
  <si>
    <t>Nivel de Probabilidad</t>
  </si>
  <si>
    <t>Valores Probabilidad</t>
  </si>
  <si>
    <t>Comentario</t>
  </si>
  <si>
    <t>Bajo</t>
  </si>
  <si>
    <t>Medio</t>
  </si>
  <si>
    <t>Alto</t>
  </si>
  <si>
    <t>Baja</t>
  </si>
  <si>
    <t>Podría ocurrir</t>
  </si>
  <si>
    <t>Media</t>
  </si>
  <si>
    <t>Es bastante probable</t>
  </si>
  <si>
    <t>Probabilidad</t>
  </si>
  <si>
    <t>Alta</t>
  </si>
  <si>
    <t>Es casi seguro</t>
  </si>
  <si>
    <t>Nivel Impacto</t>
  </si>
  <si>
    <t>Valores de Impacto</t>
  </si>
  <si>
    <t>Atraso menor a un 20%</t>
  </si>
  <si>
    <t>Atraso entre 20% y 50%</t>
  </si>
  <si>
    <t>Proyecto fracasa o atraso de más de 100%</t>
  </si>
  <si>
    <t>ID del Proyecto</t>
  </si>
  <si>
    <t>Nombre del Proyecto</t>
  </si>
  <si>
    <t>Director de Proyecto</t>
  </si>
  <si>
    <t>Asignar las platas del fondo de reserva 10% del presupuesto</t>
  </si>
  <si>
    <t>Fecha 
Identificación</t>
  </si>
  <si>
    <t>Nro.</t>
  </si>
  <si>
    <t>Riesgo/Evento de Riesgo</t>
  </si>
  <si>
    <t>Fuente/Causa/
Condición</t>
  </si>
  <si>
    <t>Justificacion</t>
  </si>
  <si>
    <t>Valor de Probabilidad</t>
  </si>
  <si>
    <t>Valor Impacto</t>
  </si>
  <si>
    <t>Magnitud</t>
  </si>
  <si>
    <t>Impacta a/ Consecuencias
Objetivos Proyecto</t>
  </si>
  <si>
    <t>Descripción y Comentarios</t>
  </si>
  <si>
    <t>Cambios de Requisitos Frecuentes</t>
  </si>
  <si>
    <t>Falta de claridad en el alcance inicial o visión cambiante.</t>
  </si>
  <si>
    <t>Es común en proyectos educativos que la visión evolucione.</t>
  </si>
  <si>
    <t>Alcance, Plazo. Retrasos, refactorización.</t>
  </si>
  <si>
    <t>Los cambios tardíos en la lógica principal son los más perjudiciales.</t>
  </si>
  <si>
    <t>Baja Productividad/Abandono</t>
  </si>
  <si>
    <t>Falta de motivación, distracciones o gestión ineficiente del tiempo.</t>
  </si>
  <si>
    <t>Es el principal riesgo en proyectos personales o educativos.</t>
  </si>
  <si>
    <t>Plazo, Alcance. El proyecto no se termina.</t>
  </si>
  <si>
    <t>El tiempo invertido se pierde o el proyecto queda incompleto.</t>
  </si>
  <si>
    <t>Falta de Claridad en la Priorización</t>
  </si>
  <si>
    <t>Tareas mal definidas o un equipo que persigue demasiadas características a la vez.</t>
  </si>
  <si>
    <t>Confusión sobre qué es esencial para el proyecto.</t>
  </si>
  <si>
    <t>Plazo, Alcance. Tiempo perdido en características innecesarias.</t>
  </si>
  <si>
    <t>El foco se dispersa y las funcionalidades clave se entregan tarde.</t>
  </si>
  <si>
    <t>Comunicación Ineficaz (Equipo)</t>
  </si>
  <si>
    <t>Suposiciones incorrectas, información incompleta o falta de reuniones formales.</t>
  </si>
  <si>
    <t>Si es un proyecto individual es nulo, pero en equipo es un riesgo clave.</t>
  </si>
  <si>
    <t>Plazo, Calidad. Errores de integración o código duplicado.</t>
  </si>
  <si>
    <t>Especialmente en la interfaz entre frontend y backend.</t>
  </si>
  <si>
    <t>Estimaciones de Esfuerzo Incorrectas</t>
  </si>
  <si>
    <t>Experiencia limitada para calcular la complejidad real de las tareas.</t>
  </si>
  <si>
    <t>Las tareas "sencillas" suelen ocultar complejidades técnicas.</t>
  </si>
  <si>
    <t>Plazo. Retrasos que afectan a tareas subsiguientes.</t>
  </si>
  <si>
    <t>El cronograma inicial se vuelve inútil.</t>
  </si>
  <si>
    <t>Documentación Incompleta o Desactualizada</t>
  </si>
  <si>
    <t>Pereza o falta de tiempo para documentar el diseño o las decisiones.</t>
  </si>
  <si>
    <t>La documentación suele ser la primera víctima de las prisas.</t>
  </si>
  <si>
    <t>Calidad. Dificulta el mantenimiento y la transferencia de conocimiento.</t>
  </si>
  <si>
    <t>Hace difícil retomar el proyecto después de una pausa.</t>
  </si>
  <si>
    <t>Falta de Seguimiento del Progreso</t>
  </si>
  <si>
    <t>No se usan herramientas de gestión de tareas (ej. Trello) o no se actualizan.</t>
  </si>
  <si>
    <t>Es fácil perder la noción del progreso sin un sistema.</t>
  </si>
  <si>
    <t>Plazo. Dificultad para identificar y solucionar retrasos a tiempo.</t>
  </si>
  <si>
    <t>El proyecto parece ir bien hasta que es demasiado tarde.</t>
  </si>
  <si>
    <t>Curva de Aprendizaje del Framework/Lenguaje</t>
  </si>
  <si>
    <t>Uso de tecnologías nuevas para el equipo.</t>
  </si>
  <si>
    <t>Es un riesgo inherente a un proyecto educativo o de exploración.</t>
  </si>
  <si>
    <t>Plazo, Calidad. Retrasos y código subóptimo o inseguro.</t>
  </si>
  <si>
    <t>El tiempo de desarrollo se gasta en investigar en lugar de codificar.</t>
  </si>
  <si>
    <t>Fallo en la Integración de Módulos (APIs, BD)</t>
  </si>
  <si>
    <t>Incompatibilidad de versiones, dependencias inestables o errores de comunicación.</t>
  </si>
  <si>
    <t>La conexión de backend y frontend suele ser un punto de fricción.</t>
  </si>
  <si>
    <t>Calidad, Plazo. El sistema no funciona como un todo.</t>
  </si>
  <si>
    <t>Fallos en la comunicación entre la aplicación y el servidor.</t>
  </si>
  <si>
    <t>Problemas de Rendimiento</t>
  </si>
  <si>
    <t>Código ineficiente, mal diseño de la base de datos o lógica de negocio lenta.</t>
  </si>
  <si>
    <t>Aunque la carga sea baja, un código muy ineficiente es notable.</t>
  </si>
  <si>
    <t>Calidad, Usabilidad. Aplicación lenta o que consume demasiada batería.</t>
  </si>
  <si>
    <t>Frustración del usuario por la experiencia subóptima.</t>
  </si>
  <si>
    <t>Deuda Técnica Acumulada</t>
  </si>
  <si>
    <t>Priorizar la velocidad sobre la calidad del código (atajos).</t>
  </si>
  <si>
    <t>En proyectos con prisa por ver el producto funcionando.</t>
  </si>
  <si>
    <t>Calidad, Plazo. Mantenimiento futuro muy costoso y difícil.</t>
  </si>
  <si>
    <t>El código se vuelve frágil y los nuevos cambios introducen errores.</t>
  </si>
  <si>
    <t>Vulnerabilidades de Seguridad</t>
  </si>
  <si>
    <t>Implementación incorrecta de autenticación, manejo de datos o almacenamiento.</t>
  </si>
  <si>
    <t>Necesario si la app maneja cualquier tipo de datos de usuario.</t>
  </si>
  <si>
    <t>Calidad. Fuga de datos, acceso no autorizado.</t>
  </si>
  <si>
    <t>Daño a la credibilidad del proyecto.</t>
  </si>
  <si>
    <t>Incompatibilidad de Plataformas (iOS/Android)</t>
  </si>
  <si>
    <t>Errores específicos del sistema operativo o versión.</t>
  </si>
  <si>
    <t>Si se usa un framework multi-plataforma (ej. Flutter/React Native).</t>
  </si>
  <si>
    <t>Calidad, Alcance. La aplicación falla en un OS y no cumple el objetivo.</t>
  </si>
  <si>
    <t>Funcionalidad limitada o errores en un sistema operativo.</t>
  </si>
  <si>
    <t>Problemas con Librerías de Terceros</t>
  </si>
  <si>
    <t>Librería desactualizada, abandonada por su desarrollador o con fallos.</t>
  </si>
  <si>
    <t>El proyecto depende de código externo que no controlamos.</t>
  </si>
  <si>
    <t>Calidad, Plazo. Se requiere buscar un reemplazo o codificar la funcionalidad.</t>
  </si>
  <si>
    <t>El proyecto se detiene esperando un parche.</t>
  </si>
  <si>
    <t>Fallo de la Infraestructura de Backend/Hosting</t>
  </si>
  <si>
    <t>Servidor o base de datos que cae o no responde (incluso en entornos gratuitos/educativos).</t>
  </si>
  <si>
    <t>Ocurre incluso con servicios en la nube bien gestionados.</t>
  </si>
  <si>
    <t>Disponibilidad, Calidad. La aplicación no funciona para el usuario.</t>
  </si>
  <si>
    <t>Interrupción total del servicio de la aplicación.</t>
  </si>
  <si>
    <t>Configuración Incorrecta del Entorno de Desarrollo</t>
  </si>
  <si>
    <t>Problemas con el SDK, IDE o versiones del compilador.</t>
  </si>
  <si>
    <t>Las herramientas de desarrollo móvil suelen ser complejas de configurar.</t>
  </si>
  <si>
    <t>Plazo. Pérdida de tiempo al inicio del proyecto.</t>
  </si>
  <si>
    <t>La codificación no puede comenzar o se interrumpe constantemente.</t>
  </si>
  <si>
    <t>Dificultad en la Optimización de Recursos (Memoria)</t>
  </si>
  <si>
    <t>Gestión ineficiente de la memoria, causando cierres inesperados (crashes).</t>
  </si>
  <si>
    <t>Crítico en el desarrollo móvil por los recursos limitados.</t>
  </si>
  <si>
    <t>Calidad, Usabilidad. La aplicación es inestable.</t>
  </si>
  <si>
    <t>La aplicación "crashea" en dispositivos de baja gama.</t>
  </si>
  <si>
    <t>Problemas con el Control de Versiones (GIT)</t>
  </si>
  <si>
    <t>Ramas mal gestionadas, conflictos frecuentes o pérdida de código.</t>
  </si>
  <si>
    <t>Si el equipo no tiene experiencia en GIT.</t>
  </si>
  <si>
    <t>Plazo, Calidad. Retraso en la integración y errores al fusionar código.</t>
  </si>
  <si>
    <t>Se pierde trabajo o se introducen errores inadvertidamente.</t>
  </si>
  <si>
    <t>Detección Tarde de Errores Críticos</t>
  </si>
  <si>
    <t>Pruebas insuficientes o realizadas solo al final del proyecto.</t>
  </si>
  <si>
    <t>Los errores más graves suelen ser los más difíciles de encontrar.</t>
  </si>
  <si>
    <t>Plazo, Calidad. Retrasos masivos para corregir la base del sistema.</t>
  </si>
  <si>
    <t>Obliga a rediseñar o rehacer grandes partes del código.</t>
  </si>
  <si>
    <t>Falta de Pruebas de Usabilidad (UX)</t>
  </si>
  <si>
    <t>No se valida el diseño de la interfaz con usuarios reales.</t>
  </si>
  <si>
    <t>Es fácil enamorarse de un diseño propio que no es intuitivo para otros.</t>
  </si>
  <si>
    <t>Usabilidad. Los usuarios no pueden usar la aplicación eficazmente.</t>
  </si>
  <si>
    <t>El objetivo educativo o funcional no se logra.</t>
  </si>
  <si>
    <t>Datos de Prueba Insuficientes/Irreales</t>
  </si>
  <si>
    <t>No se simulan datos en volumen o complejidad real.</t>
  </si>
  <si>
    <t>Las pruebas con pocos datos siempre pasan; los problemas aparecen con datos reales.</t>
  </si>
  <si>
    <t>Calidad. Fallos no detectados en la lógica de negocio o BD.</t>
  </si>
  <si>
    <t>El rendimiento es bueno en desarrollo, pero malo en producción.</t>
  </si>
  <si>
    <t>Fallos de Diseño de Interfaz de Usuario (UI)</t>
  </si>
  <si>
    <t>Colores, tipografías o diseño incoherentes que distraen o frustran.</t>
  </si>
  <si>
    <t>La estética puede fallar si no hay un diseñador profesional.</t>
  </si>
  <si>
    <t>Usabilidad. Interfaz poco atractiva o difícil de leer.</t>
  </si>
  <si>
    <t>Disminuye la satisfacción general.</t>
  </si>
  <si>
    <t>Problemas de Localización/Internacionalización</t>
  </si>
  <si>
    <t>La aplicación funciona mal con otros idiomas o formatos de fecha/moneda.</t>
  </si>
  <si>
    <t>Solo aplica si el objetivo es un público internacional.</t>
  </si>
  <si>
    <t>Alcance. La aplicación no es usable en otros países.</t>
  </si>
  <si>
    <t>Restringe el público objetivo del proyecto.</t>
  </si>
  <si>
    <t>Falta de Automatización de Pruebas</t>
  </si>
  <si>
    <t>La regresión (pruebas manuales repetitivas) consume mucho tiempo.</t>
  </si>
  <si>
    <t>Esfuerzo repetitivo que quita tiempo a nuevas funcionalidades.</t>
  </si>
  <si>
    <t>Plazo. La fase de pruebas se alarga y retrasa la entrega.</t>
  </si>
  <si>
    <t>Aumenta la probabilidad de errores de regresión no detectados.</t>
  </si>
  <si>
    <t>Bugs no Repetibles (Heisenbugs)</t>
  </si>
  <si>
    <t>Errores que desaparecen o cambian de comportamiento al intentar depurarlos.</t>
  </si>
  <si>
    <t>Suelen estar relacionados con la concurrencia o problemas de tiempo.</t>
  </si>
  <si>
    <t>Plazo. Dificultad extrema para identificar la causa real.</t>
  </si>
  <si>
    <t>El código parece estar bien, pero el error ocurre esporádicamente.</t>
  </si>
  <si>
    <t>Problemas en el Proceso de Publicación (Stores)</t>
  </si>
  <si>
    <t>Rechazo de la aplicación por parte de Apple App Store o Google Play Store.</t>
  </si>
  <si>
    <t>Causa común de retrasos por incumplimiento de políticas.</t>
  </si>
  <si>
    <t>Plazo. La aplicación no está disponible para el público.</t>
  </si>
  <si>
    <t>El objetivo de "lanzar" la aplicación no se cumple a tiempo.</t>
  </si>
  <si>
    <t>Falta de Feedback (Usuarios)</t>
  </si>
  <si>
    <t>La aplicación se lanza, pero no se recibe ninguna crítica o informe de error.</t>
  </si>
  <si>
    <t>Riesgo común en proyectos pequeños sin estrategia de promoción.</t>
  </si>
  <si>
    <t>Mejora Continua. No se sabe qué corregir o mejorar.</t>
  </si>
  <si>
    <t>El proyecto no evoluciona más allá del lanzamiento inicial.</t>
  </si>
  <si>
    <t>Pérdida de Código Fuente</t>
  </si>
  <si>
    <t>Fallo del disco duro o error en el sistema de control de versiones.</t>
  </si>
  <si>
    <t>Siempre es posible un desastre si no se usa GIT o un backup.</t>
  </si>
  <si>
    <t>Plazo. Pérdida de todo o gran parte del trabajo.</t>
  </si>
  <si>
    <t>Retraso masivo al tener que rehacer el código.</t>
  </si>
  <si>
    <t>Dependencia de un Único Desarrollador (Bus Factor)</t>
  </si>
  <si>
    <t>Un único miembro tiene conocimiento crítico y se va o enferma.</t>
  </si>
  <si>
    <t>Un riesgo clave en proyectos individuales o de equipo pequeño.</t>
  </si>
  <si>
    <t>Plazo, Alcance. El proyecto se paraliza o no puede ser continuado.</t>
  </si>
  <si>
    <t>El proyecto muere si el desarrollador clave se va.</t>
  </si>
  <si>
    <t>Tecnologia</t>
  </si>
  <si>
    <t>Complejidad e interfaces</t>
  </si>
  <si>
    <t>Desempeño y fiabilidad</t>
  </si>
  <si>
    <t>Calidad</t>
  </si>
  <si>
    <t>Normativa</t>
  </si>
  <si>
    <t>Mercado</t>
  </si>
  <si>
    <t>Cliente</t>
  </si>
  <si>
    <t>Clima</t>
  </si>
  <si>
    <t>Recursos</t>
  </si>
  <si>
    <t>Financiamiento</t>
  </si>
  <si>
    <t>Priorizacion</t>
  </si>
  <si>
    <t>Planificacion</t>
  </si>
  <si>
    <t>Control</t>
  </si>
  <si>
    <t>Comunicacion</t>
  </si>
  <si>
    <t>Riesgo Materializado</t>
  </si>
  <si>
    <t>Que esta pasando</t>
  </si>
  <si>
    <t>Riesgo Caducado</t>
  </si>
  <si>
    <t>Que ya no paso/ocurrio</t>
  </si>
  <si>
    <t>Riesgo Vigente</t>
  </si>
  <si>
    <t>Que aun puede ocurrir</t>
  </si>
  <si>
    <t>Riesgo incorporado</t>
  </si>
  <si>
    <t>Que se incorporo despues</t>
  </si>
  <si>
    <t>Tecnico</t>
  </si>
  <si>
    <t>Inicio</t>
  </si>
  <si>
    <t>Planificación</t>
  </si>
  <si>
    <t>Compras en Casino</t>
  </si>
  <si>
    <t>Desarrollo</t>
  </si>
  <si>
    <t>Drop Off</t>
  </si>
  <si>
    <t>Control y Seguimiento</t>
  </si>
  <si>
    <t>Control de Acceso</t>
  </si>
  <si>
    <t>Requisitos</t>
  </si>
  <si>
    <t>Puesta en marcha</t>
  </si>
  <si>
    <t>Externo</t>
  </si>
  <si>
    <t>Subcontratistas y Proveedores</t>
  </si>
  <si>
    <t>Indefinido</t>
  </si>
  <si>
    <t>Transversal</t>
  </si>
  <si>
    <t>Transversal e Idefinido</t>
  </si>
  <si>
    <t>Organizacional</t>
  </si>
  <si>
    <t>Dependencias del Proyecto</t>
  </si>
  <si>
    <t>Direccion de Proyectos</t>
  </si>
  <si>
    <t>Estimacion</t>
  </si>
  <si>
    <t>No aplica</t>
  </si>
  <si>
    <t>Categoría</t>
  </si>
  <si>
    <t>Subcategoria</t>
  </si>
  <si>
    <t>Plan de Mitigación</t>
  </si>
  <si>
    <t>Plan de continguencia</t>
  </si>
  <si>
    <t>Cuando 
Fecha estimada de ocurrencia (ETAPA PROYECTO)</t>
  </si>
  <si>
    <t>Fases en caso de que sea transversal</t>
  </si>
  <si>
    <t>Riesgo/Evento de Riesgo ($)</t>
  </si>
  <si>
    <t>Clasificación Riesgo $</t>
  </si>
  <si>
    <t xml:space="preserve">Nevadas y Tormentas de Invierno
</t>
  </si>
  <si>
    <t>Condiciones climáticas extremas en zona cordillerana</t>
  </si>
  <si>
    <t>Es bastante probable que pase esto, por la zona en la que se encuentra, y en especial dependiendo la temporada del año</t>
  </si>
  <si>
    <t>Interrupción del tránsito fronterizo, acumulación de vehículos y retrasos en los tiempos de cruce</t>
  </si>
  <si>
    <t>Durante el invierno, las intensas nevadas en la cordillera pueden cerrar el paso, interrumpiendo completamente las operaciones del complejo y generando congestión.</t>
  </si>
  <si>
    <t>Establecer protocolos de monitoreo meteorológico constantes, capacitación del personal en procedimientos ante condiciones climáticas severas, uso de equipos con protección para bajas temperaturas</t>
  </si>
  <si>
    <t>Activar el protocolo de emergencia climatológica - Suspender temporalmente actividades al aire libre o en rutas - Habilitar albergues provisorios para personal en zonas de riesgo - Notificar a autoridades locales y coordinar apoyos logísticos (maquinarías, despeje de rutas)</t>
  </si>
  <si>
    <t>Congelamiento de sistemas electrónicos</t>
  </si>
  <si>
    <t>Bajas temperaturas en la alta montaña</t>
  </si>
  <si>
    <t>Fallas operativas, paralización de servicios tecnológicos</t>
  </si>
  <si>
    <t>El frío extremo puede afectar el funcionamiento de equipos informáticos y barreras electrónicas, lo que genera interrupciones en la atención.</t>
  </si>
  <si>
    <t>Instalar sistemas de calefacción o aislamiento térmico en equipos críticos, uso de hardware certificado para ambientes extremos, mantenimiento preventivo antes de temporadas frías</t>
  </si>
  <si>
    <t>Cambiar a operación manual temporal en caso de fallo electrónico - Tener stock de reemplazo inmediato para sistemas críticos - Disponer de personal técnico en turnos rotativos para reparaciones urgentes - Habilitar redundancia con sistemas paralelos o portátiles si aplica</t>
  </si>
  <si>
    <t>Puesta en marcha, Control y Seguimiento</t>
  </si>
  <si>
    <t>Bajo Costo</t>
  </si>
  <si>
    <t>Accidente de trafico</t>
  </si>
  <si>
    <t>Congestión vehicular, condiciones climáticas, caminos de montaña</t>
  </si>
  <si>
    <t>Los accidentes de traficos son bastante comunes, en especial en zonas donde transucurren muchos vehiculos</t>
  </si>
  <si>
    <t>Retrasos operacionales y riesgos a la seguridad</t>
  </si>
  <si>
    <t>La combinación de alto flujo de vehículos y terreno complejo aumenta el riesgo de accidentes, afectando la fluidez del proceso aduanero.</t>
  </si>
  <si>
    <t>Capacitación en conducción segura y condiciones extremas, control estricto de horarios y condiciones para desplazamientos, revisión técnica periódica de vehículos</t>
  </si>
  <si>
    <t>Activar protocolo de emergencia médica y evacuación - Disponer de seguros y asistencia legal inmediata - Establecer canales de comunicación para coordinar con carabineros y servicios de salud - Suspensión temporal del transporte involucrado y evaluación del incidente</t>
  </si>
  <si>
    <t>Derrumbes o cortes de ruta</t>
  </si>
  <si>
    <t>Condiciones geográficas del sector</t>
  </si>
  <si>
    <t>Depende de la temporada del año, pero en especial en las de invierno-otoño con las lluvias suele ocurrir</t>
  </si>
  <si>
    <t>Aislamiento temporal del complejo fronterizo</t>
  </si>
  <si>
    <t>Los deslizamientos pueden bloquear las vías de acceso, impidiendo la operación y afectando la logística.</t>
  </si>
  <si>
    <t>Evaluación previa de rutas críticas con autoridades locales, identificación de rutas alternativas seguras, evitar tránsito en horarios de mayor riesgo (noche o lluvia)</t>
  </si>
  <si>
    <t>Activar rutas alternativas previamente planificadas y verificadas - Comunicación inmediata con operadores logísticos para redireccionamiento - Disposición de vehículos de mayor capacidad en rutas secundarias - Mantener contacto con ONEMI y MOP para trabajos de despeje prioritario</t>
  </si>
  <si>
    <t>Vientos blancos o visibilidad cero</t>
  </si>
  <si>
    <t>Condiciones meteorológicas en la cordillera</t>
  </si>
  <si>
    <t>Cierre preventivo del paso, riesgo de accidentes</t>
  </si>
  <si>
    <t>Eventos de baja visibilidad pueden obligar al cierre del paso, interrumpiendo el tránsito y retrasando las operaciones.</t>
  </si>
  <si>
    <t>Sensores de visibilidad y cámaras en puntos críticos, limitación de movilidad ante alertas meteorológicas, entrenamiento del personal para navegación con visibilidad reducida</t>
  </si>
  <si>
    <t>Detección preventiva del tránsito vehicular en sectores afectados - Implementación de refugios climatizados con señalización visible - Uso de balizas intermitentes y seguimiento por GPS para vehículos</t>
  </si>
  <si>
    <t>Caida del sistema informatico aduanero</t>
  </si>
  <si>
    <t>Falla técnica o sobrecarga del sistema</t>
  </si>
  <si>
    <t>Paralización del servicio, demoras masivas</t>
  </si>
  <si>
    <t>Dependencia de sistemas digitales puede ocasionar interrupciones graves si el sistema colapsa o presenta errores.</t>
  </si>
  <si>
    <t>Desarrollo, Puesta en marcha, Control y Seguimiento</t>
  </si>
  <si>
    <t>Lentitud de sistema informatico</t>
  </si>
  <si>
    <t>Falta de actualización o servidores insuficientes</t>
  </si>
  <si>
    <t>Procesamiento lento de trámites</t>
  </si>
  <si>
    <t>Un sistema no optimizado causa cuellos de botella y reduce la eficiencia del proceso.</t>
  </si>
  <si>
    <t>Optimización del software y mantenimiento preventivo de servidores, pruebas de carga y escalabilidad periódicas, aumento de recursos durante temporadas de alta demanda</t>
  </si>
  <si>
    <t>Cambio a operación en modo degradado, reinicio controlado, soporte técnico urgente, uso de registros manuales</t>
  </si>
  <si>
    <t>Control y Seguimiento, Puesta en marcha</t>
  </si>
  <si>
    <t>Errores en la digitalizacion de documentos</t>
  </si>
  <si>
    <t>Sistemas defectuosos o escáneres de baja calidad</t>
  </si>
  <si>
    <t>Problemas en fiscalización o rechazo de ingreso</t>
  </si>
  <si>
    <t>Una mala digitalización puede generar errores en la validación de documentos y aumentar los tiempos de revisión.</t>
  </si>
  <si>
    <t>Desarrollo, Puesta en marcha</t>
  </si>
  <si>
    <t>Fallas en control biometrico</t>
  </si>
  <si>
    <t>Desajustes técnicos o mala calibración</t>
  </si>
  <si>
    <t>Retardo en el proceso de verificación de identidad</t>
  </si>
  <si>
    <t>El sistema de control biométrico puede fallar en identificar correctamente a los pasajeros, deteniendo la fila de ingreso.</t>
  </si>
  <si>
    <t>Fallas en integracion de sistemas con argentina</t>
  </si>
  <si>
    <t>Desactualización tecnológica o desacuerdos bilaterales</t>
  </si>
  <si>
    <t>Retrasos y duplicación de trámites</t>
  </si>
  <si>
    <t>Si el sistema de integración no funciona correctamente, cada país realiza controles separados, duplicando tiempos.</t>
  </si>
  <si>
    <t>Pruebas conjuntas periódicas de interoperabilidad, protocolos de comunicación entre ambas partes con responsables definidos, documentación técnica clara y compartida entre países</t>
  </si>
  <si>
    <t>Establecer canal manual alternativo, mantener coordinación bilateral, uso de respaldo físico de datos</t>
  </si>
  <si>
    <t>Falta de capacitacion en nuevas tecnologias</t>
  </si>
  <si>
    <t>Implementación de sistemas sin formación al personal</t>
  </si>
  <si>
    <t>Errores operativos y resistencia al cambio</t>
  </si>
  <si>
    <t>El personal que no domina los nuevos sistemas puede cometer errores que retrasen el proceso.</t>
  </si>
  <si>
    <t>Implementar programa de formación continua, manuales y guías de uso accesibles para el personal, líderes técnicos que capaciten a sus equipos</t>
  </si>
  <si>
    <t>Apoyo por parte de usuarios expertos, pausas operativas para capacitación rápida, manuales simplificados</t>
  </si>
  <si>
    <t>Puesta en marcha, Inicio, Planificación</t>
  </si>
  <si>
    <t>Desinformacion del usuario sobre tramites online</t>
  </si>
  <si>
    <t>Falta de campañas informativas o canales poco accesibles</t>
  </si>
  <si>
    <t>Ya de por si una gran parte de los usuarios desconocen los tramites online, por ende el agregar mas, no va a solucionar el problema de que no esten enterados.</t>
  </si>
  <si>
    <t>Aumento de atención presencial y demoras</t>
  </si>
  <si>
    <t>Pasajeros que desconocen trámites previos causan congestión en ventanillas.</t>
  </si>
  <si>
    <t>Campañas de difusión digital y presencial, resideño de los portales para mayor clairdad y facilidad de uso, material educativo en redes sociales y puntos de control</t>
  </si>
  <si>
    <t>Punto de ayuda presencial reforzado, entrega de volantes explicativos asistentes digitales de emergencia</t>
  </si>
  <si>
    <t>Escasez de personal en temporada alta</t>
  </si>
  <si>
    <t>Planificación deficiente o restricciones presupuestarias</t>
  </si>
  <si>
    <t>Esto ya ha ocurrido con enterioridad, que por el aumento del trafico de la gente, falte personal para cubrir la cuota.</t>
  </si>
  <si>
    <t>Colapso operativo y atención lenta</t>
  </si>
  <si>
    <t>El aumento estacional del flujo no es cubierto con refuerzo de personal.</t>
  </si>
  <si>
    <t>Planificación anticipada de turnos con refuerzos, convenios con instituciones para contratar personal temporal capacitado, incentivos para cubrir turnos criticos</t>
  </si>
  <si>
    <t>Activación de personal de reserva, apliación de turnos, priorización de tareas críticas, reducción de servicios no esenciales</t>
  </si>
  <si>
    <t>Demoras en revision por parte de SAG y PDI</t>
  </si>
  <si>
    <t>Procesos manuales y no integrados</t>
  </si>
  <si>
    <t>Demoras en el proceso de fiscalización</t>
  </si>
  <si>
    <t>Falta de coordinación entre servicios genera cuellos de botella.</t>
  </si>
  <si>
    <t>Reasignación de recursos, automarización del proceso, gestión de prioridades, revisión anticipada, mejor coordinación, indicadores de desempeño, retroalimentación rápida</t>
  </si>
  <si>
    <t>Establecer linea de atención prioritaria para casos críticos, habilitar filas separadas, reforzar dotación temporal con personal de apoyo</t>
  </si>
  <si>
    <t>Documentacion incompleta de pasajeros</t>
  </si>
  <si>
    <t>Falta de revisión previa o desinformación</t>
  </si>
  <si>
    <t>Que los visitantes no lleven la documentacion completa, puede provocar una demora en el sistema y provocar una congestión vehicular</t>
  </si>
  <si>
    <t>Retención de usuarios y retrasos generales</t>
  </si>
  <si>
    <t>Pasajeros sin documentación adecuada generan trabas en el proceso de ingreso/salida.</t>
  </si>
  <si>
    <t>Gestión de casos de incidencia, validación en tiempo real, proceso de pre-inscripción, campañas de sensibilización, sistema de alerta temprana, establecimiento de líneas de acción</t>
  </si>
  <si>
    <t>Implementar punto de regulación rápida, entregar formularios de contingencia, asesoría directa para completarlos en sitio</t>
  </si>
  <si>
    <t>Falta de señalizacion clara en el complejo</t>
  </si>
  <si>
    <t>Diseño inadecuado o deterioro de infraestructura</t>
  </si>
  <si>
    <t>Desorientación del usuario, aumento de tiempo por atención</t>
  </si>
  <si>
    <t>Visitantes que no saben a dónde dirigirse congestionan áreas innecesarias.</t>
  </si>
  <si>
    <t>Implementar señalización digital interactiva (pantallas con información en tiempo real, códigos QR para acceder a mapas del complejo).
Usar colores estandarizados (ej: verde para salida, rojo para controles) siguiendo la identidad corporativa de Aduanas.
Capacitar a funcionarios para guiar a usuarios en puntos críticos (ej: cerca de ventanillas de atencion).
Realizar pruebas de usabilidad con ciudadanos para validar la claridad de las señales.</t>
  </si>
  <si>
    <t>Instalación rápida de señalética temporal, personal orientador en puntos clave, anuncios por megafonía</t>
  </si>
  <si>
    <t>Fallas en comunicacion interna entre departamentos</t>
  </si>
  <si>
    <t>Ausencia de protocolos o sistemas integrados</t>
  </si>
  <si>
    <t>Ineficiencia y respuestas contradictorias</t>
  </si>
  <si>
    <t>Sin coordinación adecuada, los funcionarios pueden actuar con información contradictoria.</t>
  </si>
  <si>
    <t>Saturacion de los estacionamientos</t>
  </si>
  <si>
    <t>Falta de espacio o diseño ineficiente</t>
  </si>
  <si>
    <t>La saturación de los estacionamientos puede producir que los visitantes deban estacionar en lugares no habilitados para esto, lo que puede ocaccionar un accidente</t>
  </si>
  <si>
    <t>Aglomeraciones y retrasos en el ingreso</t>
  </si>
  <si>
    <t>Estacionamientos colapsados dificultan el flujo del proceso.</t>
  </si>
  <si>
    <t xml:space="preserve">Reorganizar la demarcación de zonas de estacionamiento (ej: áreas exclusivas para buses turísticos, vehículos particulares, y carga rápida).
Asignar funcionarios para dirigir el tráfico en horas peak.
Integrar en la plataforma del sistema aduanero un módulo para reservar estacionamientos con anticipación.
</t>
  </si>
  <si>
    <t>Habilitación de espacios externos como estacionamientos alternativos, coordinación con municipalidad o privados para arriendo temporal</t>
  </si>
  <si>
    <t>Falta de espacio fisico para atencion</t>
  </si>
  <si>
    <t>Infraestructura inadecuada ante la demanda</t>
  </si>
  <si>
    <t>La falta de infraestructura puede provocar algun incidente o accidente ya que el clima es muy desfavorable en la zona, incluso pueden haber derrumbes</t>
  </si>
  <si>
    <t>Demoras en la atención y malestar de los usuarios</t>
  </si>
  <si>
    <t>Instalaciones insuficientes causan incomodidad y demoras.</t>
  </si>
  <si>
    <t>Evaluación del espacio actual, resideño del espacio, ampliación o reubicación, mejorar la distribución de los recursos</t>
  </si>
  <si>
    <t>Uso de carpas modulares o espacios móviles, redistribución de funciones entre módulos existentes, turnos extendidos para dispersar flujo</t>
  </si>
  <si>
    <t>Inicio, Planificación</t>
  </si>
  <si>
    <t>Falta de protocolos para contingencias</t>
  </si>
  <si>
    <t>Ausencia de planificación ante eventos extraordinarios</t>
  </si>
  <si>
    <t>Desorganización frente a cierres o colapsos</t>
  </si>
  <si>
    <t>Sin protocolos claros, los funcionarios improvisan, causando caos operativo.</t>
  </si>
  <si>
    <t>Cambios abruptos en la legislacion aduanera</t>
  </si>
  <si>
    <t>Modificaciones legislativas sin periodo de adaptación</t>
  </si>
  <si>
    <t>Desactualización de procedimientos y errores en fiscalización</t>
  </si>
  <si>
    <t>Los cambios legales pueden dejar obsoletos los sistemas y procesos actuales.</t>
  </si>
  <si>
    <t>Problemas en la implementacion del sistema de trazabilidad</t>
  </si>
  <si>
    <t>Falta de estandarización o pruebas previas</t>
  </si>
  <si>
    <t>Errores de seguimiento y registro</t>
  </si>
  <si>
    <t>Un sistema de trazabilidad mal diseñado puede afectar el control de mercancías.</t>
  </si>
  <si>
    <t>Desarrollo, Control y Seguimiento</t>
  </si>
  <si>
    <t>Falta de coordinacion con actores externos</t>
  </si>
  <si>
    <t>Comunicación ineficiente con PDI, SAG o Carabineros</t>
  </si>
  <si>
    <t>Duplicidad de esfuerzos o vacíos de control</t>
  </si>
  <si>
    <t>El trabajo aislado de instituciones perjudica la fluidez del proceso.</t>
  </si>
  <si>
    <t>Reuniones de planificación periódicas con actores externos, establecer protocolos de comunicación claros y formales</t>
  </si>
  <si>
    <t>Reunión urgente interinstitucional, designación de enlace de emergencia, reconfiguración de flujos hasta normalización</t>
  </si>
  <si>
    <t>Problemas sinficales o paro de funcionarios</t>
  </si>
  <si>
    <t>Conflictos laborales</t>
  </si>
  <si>
    <t>Suspensión de atención y acumulación de flujo</t>
  </si>
  <si>
    <t>Un paro de trabajadores afecta directamente la operación del complejo.</t>
  </si>
  <si>
    <t>Mantenimiento de canales de diálogo activos con sindicatos, revisión periódica de condiciones laborales</t>
  </si>
  <si>
    <t>Activación de equipos de reemplazo por turnos éticos, redistribución de funcoines clave, priorización de trámites esenciales</t>
  </si>
  <si>
    <t>Perdida o robo de documentacion</t>
  </si>
  <si>
    <t>Falta de respaldo digital o sistemas de seguridad</t>
  </si>
  <si>
    <t>Riesgo legal y pérdida de trazabilidad</t>
  </si>
  <si>
    <t>La falta de resguardo de documentación puede generar conflictos jurídicos.</t>
  </si>
  <si>
    <t>Fugas de informacion sensible</t>
  </si>
  <si>
    <t>Sistemas inseguros o accesos mal configurados</t>
  </si>
  <si>
    <t>Problemas legales y pérdida de confianza</t>
  </si>
  <si>
    <t>El mal manejo de datos afecta la imagen institucional y seguridad.</t>
  </si>
  <si>
    <t>Desarrollo, Control y Seguimiento, Puesta en marcha</t>
  </si>
  <si>
    <t>Ataques ciberneticos al sistema aduanero</t>
  </si>
  <si>
    <t>Vulnerabilidades en la ciberseguridad</t>
  </si>
  <si>
    <t>Todos los sistema de informatica, sobre todo los del gobierno o de sistema aduanero estan en constante ataque cibernetico, por lo que se requiere un buen sistema de defensa para evitar una vulneracion de datos</t>
  </si>
  <si>
    <t>Parálisis del sistema y riesgo de filtración de datos</t>
  </si>
  <si>
    <t>Un ciberataque puede detener la operación completa del sistema.</t>
  </si>
  <si>
    <t>Implementación de firewalls, antivirus y monitoreo 24/7, auditorias de seguridad periódicas</t>
  </si>
  <si>
    <t>Desconexión inmediata de la red, uso de respaldo offline, activación de protocolo con equipo de ciberseguridad, continuidad manual</t>
  </si>
  <si>
    <t>Alto Costo</t>
  </si>
  <si>
    <t>Resistencia al cambio por parte del personal</t>
  </si>
  <si>
    <t>Falta de inclusión del equipo en el proceso de modernización</t>
  </si>
  <si>
    <t>Demora en adopción de nuevas herramientas</t>
  </si>
  <si>
    <t>La falta de motivación o comprensión del cambio tecnológico puede frenar su implementación.</t>
  </si>
  <si>
    <t>Incluir al personal en el proceso de cambio desde etapas tempranas, programas de sensibilización y acompañamiento</t>
  </si>
  <si>
    <t>Apoyo emocional y funcional con personal experto, sesiones rápidas de formación y escucha, revisión de procesos para ajustes temporales</t>
  </si>
  <si>
    <t>Mala experiencia del usuario</t>
  </si>
  <si>
    <t>Atención lenta, infraestructura deficiente</t>
  </si>
  <si>
    <t>Descontento social y reclamos públicos</t>
  </si>
  <si>
    <t>Una mala atención constante deteriora la imagen del servicio.</t>
  </si>
  <si>
    <t>Levantamiento de feedback continuo, mejora en señaletica, atención y tiempos de espera</t>
  </si>
  <si>
    <t>Activar protocolo de atención reforzada, puntos de resolución rápida, encuesta de satisfacción inmediata para ajustes reactivos</t>
  </si>
  <si>
    <t>Problemas en licitaciones para implementacion del sistema</t>
  </si>
  <si>
    <t>Procesos administrativos lentos o judicializados</t>
  </si>
  <si>
    <t>Cuando se realizan licitaciones suelen haber procesos no claros para licitar, lo que provoca una lentitud en la licitacion</t>
  </si>
  <si>
    <t>Retraso en la modernización del sistema</t>
  </si>
  <si>
    <t>Demoras en la adjudicación de servicios afectan los plazos del proyecto.</t>
  </si>
  <si>
    <t>Calendarios de licitación con holgura de tiempo, validación técnica rigurosa de bases y requerimientos</t>
  </si>
  <si>
    <t>Activar mecanismos de contratación directa o emergencia permitidos por normativa, reestructurar cronograma de implementación, reasignar tareas a recursos internos mientras se resuelve</t>
  </si>
  <si>
    <t>Crisis sanitaria (Como pandemia)</t>
  </si>
  <si>
    <t>Emergencia sanitaria a nivel nacional o mundial</t>
  </si>
  <si>
    <t>Cierre del paso fronterizo o restricción de flujos</t>
  </si>
  <si>
    <t>Ante pandemias, los controles sanitarios se intensifican, afectando la fluidez.</t>
  </si>
  <si>
    <t>Protestas o bloqueos en la ruta</t>
  </si>
  <si>
    <t>Movilizaciones sociales o gremiales</t>
  </si>
  <si>
    <t>Interrupción del acceso al complejo</t>
  </si>
  <si>
    <t>Las protestas pueden bloquear las vías de ingreso al complejo aduanero.</t>
  </si>
  <si>
    <t>Aumento del contrabando o trafico ilicito</t>
  </si>
  <si>
    <t>Baja fiscalización o rutas alternativas</t>
  </si>
  <si>
    <t>Riesgo país, pérdida de control estatal</t>
  </si>
  <si>
    <t>Un incremento en actividades ilegales genera presión sobre el sistema.</t>
  </si>
  <si>
    <t>Incremento repentino del flujo por crisis en pais vecino</t>
  </si>
  <si>
    <t>Inestabilidad social o política en Argentina</t>
  </si>
  <si>
    <t>Colapso por sobrecapacidad</t>
  </si>
  <si>
    <t>En crisis regionales, el número de ingresos puede aumentar exponencialmente.</t>
  </si>
  <si>
    <t>Corte de energia electrica</t>
  </si>
  <si>
    <t>Falla de red o falta de respaldo</t>
  </si>
  <si>
    <t>Parálisis de sistemas electrónicos</t>
  </si>
  <si>
    <t>La falta de suministro eléctrico impide operar sistemas críticos.</t>
  </si>
  <si>
    <t>Inestabilidad politica que afecte coorporacion binacional</t>
  </si>
  <si>
    <t>Cambio de gobierno o tensiones diplomáticas</t>
  </si>
  <si>
    <t>Suspensión de sistemas integrados o acuerdos</t>
  </si>
  <si>
    <t>Sin cooperación bilateral, los flujos se vuelven más lentos y menos seguros.</t>
  </si>
  <si>
    <t>Inseguridad en las rutas de acceso</t>
  </si>
  <si>
    <t>Robos o ataques a transportistas</t>
  </si>
  <si>
    <t>Percepción de riesgo para el cruce</t>
  </si>
  <si>
    <t>Eventos delictuales en ruta pueden desalentar el uso del paso fronterizo.</t>
  </si>
  <si>
    <t>Desastres naturales (terremotos, aluviones)</t>
  </si>
  <si>
    <t>Riesgos sísmicos del país</t>
  </si>
  <si>
    <t>Interrupción total del complejo por daño estructural</t>
  </si>
  <si>
    <t>Un desastre natural puede afectar gravemente la infraestructura del complejo.</t>
  </si>
  <si>
    <t>Falla en los sistemas de respaldo (generadores, ups)</t>
  </si>
  <si>
    <t>Falta de mantenimiento o antigüedad</t>
  </si>
  <si>
    <t>Pérdida de continuidad operativa</t>
  </si>
  <si>
    <t>En cortes eléctricos, si los sistemas de respaldo no funcionan, se detiene todo el flujo.</t>
  </si>
  <si>
    <t>Falta de indicadores de gestion de riesgo</t>
  </si>
  <si>
    <t>No contar con KPIs definidos</t>
  </si>
  <si>
    <t>Difícil monitoreo y control de riesgos</t>
  </si>
  <si>
    <t>Sin indicadores no es posible detectar o prevenir riesgos a tiempo.</t>
  </si>
  <si>
    <t>Demora en validación de permisos de menores</t>
  </si>
  <si>
    <t>Errores en la autorización notarial o falta de documentos</t>
  </si>
  <si>
    <t>Retención en frontera y retraso para familias</t>
  </si>
  <si>
    <t>Cuando los menores no portan la documentación adecuada, deben ser derivados a revisión especial, lo cual ralentiza el proceso.</t>
  </si>
  <si>
    <t>Interrupción del servicio por corte de internet</t>
  </si>
  <si>
    <t>Dependencia de conexión en la alta montaña</t>
  </si>
  <si>
    <t>Caída del sistema y procesamiento manual</t>
  </si>
  <si>
    <t>La falta de conectividad obliga a los funcionarios a realizar procesos en papel, reduciendo eficiencia y aumentando los errores.</t>
  </si>
  <si>
    <t>Demora en control de mascotas</t>
  </si>
  <si>
    <t>Falta de coordinación con SAG o desconocimiento del proceso</t>
  </si>
  <si>
    <t>Retraso en ingreso del pasajero</t>
  </si>
  <si>
    <t>El ingreso de mascotas requiere una revisión adicional y puede generar retraso si no hay personal capacitado disponible.</t>
  </si>
  <si>
    <t>Saturación de red móvil en el sector</t>
  </si>
  <si>
    <t>Alta demanda de usuarios en temporada alta</t>
  </si>
  <si>
    <t>Dificultad para hacer trámites digitales desde el móvil</t>
  </si>
  <si>
    <t>Los viajeros no pueden acceder a plataformas online o completar formularios desde sus teléfonos.</t>
  </si>
  <si>
    <t>Problemas en lectura de códigos QR o documentos digitales</t>
  </si>
  <si>
    <t>Escáneres obsoletos o incompatibles</t>
  </si>
  <si>
    <t>Demora en identificación y validación</t>
  </si>
  <si>
    <t>Equipos sin mantenimiento adecuado no reconocen documentos digitales, forzando atención manual.</t>
  </si>
  <si>
    <t>Ausencia de accesos inclusivos</t>
  </si>
  <si>
    <t>Infraestructura no adaptada</t>
  </si>
  <si>
    <t>Dificultad para personas con discapacidad</t>
  </si>
  <si>
    <t>La falta de rampas o señalética inclusiva impide el tránsito fluido y seguro de personas con movilidad reducida.</t>
  </si>
  <si>
    <t>Falta de descanso del personal en turnos largos</t>
  </si>
  <si>
    <t>Jornadas extendidas sin rotación adecuada</t>
  </si>
  <si>
    <t>Baja en desempeño, errores y trato deficiente al usuario</t>
  </si>
  <si>
    <t>El cansancio del personal disminuye la eficiencia operativa y puede generar errores en controles críticos.</t>
  </si>
  <si>
    <t>Problemas de idioma con usuarios extranjeros</t>
  </si>
  <si>
    <t>Falta de personal bilingüe</t>
  </si>
  <si>
    <t>Malentendidos, retrasos o errores en el proceso</t>
  </si>
  <si>
    <t>La ausencia de intérpretes o guías en otros idiomas genera confusión y errores en la documentación.</t>
  </si>
  <si>
    <t>Capacitación básica en idiomas para personal clave, señalética multilingue</t>
  </si>
  <si>
    <t>Implementación de guías visuales multilingues, apoyo de traductores digitales o intérpretes en línea, entrega de formularios en varios idiomas</t>
  </si>
  <si>
    <t>Confusión por múltiples formularios</t>
  </si>
  <si>
    <t>No estandarización de trámites según tipo de cruce</t>
  </si>
  <si>
    <t xml:space="preserve">Es de saber común que las personas suelen confundirse debido a los multiples formularios que deban rellenar y entregar, lo que provoca una demora en el proceso </t>
  </si>
  <si>
    <t>Retrasos en el llenado de documentación</t>
  </si>
  <si>
    <t>El exceso de formularios distintos para cada caso complica el proceso y retrasa la atención.</t>
  </si>
  <si>
    <t>Unificación de formularios y simplificación del lenguaje, guías visuales paso a paso</t>
  </si>
  <si>
    <t>Centralización temporal en un solo formulario simplificado, ayuda directa con personal orientador, señaliazción clara del proceso a seguir</t>
  </si>
  <si>
    <t>Falta de monitoreo de flujos en tiempo real</t>
  </si>
  <si>
    <t>Ausencia de herramientas de control dinámico</t>
  </si>
  <si>
    <t>Desbalance en la asignación de recursos</t>
  </si>
  <si>
    <t>No contar con datos en tiempo real impide ajustar el personal o abrir más ventanillas cuando hay saturación.</t>
  </si>
  <si>
    <t>Planificación, Control y Seguimiento</t>
  </si>
  <si>
    <t>Perdida de equipaje en zonas de revisión</t>
  </si>
  <si>
    <t>Manejo inadecuado o falta de protocolos</t>
  </si>
  <si>
    <t>Reclamos de usuarios y pérdida de confianza</t>
  </si>
  <si>
    <t>La ausencia de procedimientos claros para equipajes puede causar extravíos y quejas por parte de los pasajeros.</t>
  </si>
  <si>
    <t>Falta de mantenimiento en baños y áreas comunes</t>
  </si>
  <si>
    <t>Alta afluencia y baja frecuencia de aseo</t>
  </si>
  <si>
    <t>El mal estado de los espacios comunes genera incomodidad y deteriora la imagen del complejo.</t>
  </si>
  <si>
    <t>Error en lectura de placas de vehículos</t>
  </si>
  <si>
    <t>Tecnología desactualizada o sucia</t>
  </si>
  <si>
    <t>Demoras en ingreso de vehículos</t>
  </si>
  <si>
    <t>Los escáneres automáticos pueden fallar al no leer correctamente las matrículas, requiriendo revisión manual.</t>
  </si>
  <si>
    <t>Demoras en atención por priorización de buses</t>
  </si>
  <si>
    <t>Enfoque en alto volumen de pasajeros</t>
  </si>
  <si>
    <t>Retraso de vehículos particulares</t>
  </si>
  <si>
    <t>Al dar prioridad a buses de turismo, se genera una espera excesiva para los demás vehículos.</t>
  </si>
  <si>
    <t>Establecer turnos diferenciados para peatones y buses, evaluar flujos de atención con simulaciones</t>
  </si>
  <si>
    <t>Rediseño temporal del flujo de atención, habilitación de carriles o ventanillas adicionales para vehículos menores, programación diferenciada por horarios</t>
  </si>
  <si>
    <t>Ausencia de zona de espera techada</t>
  </si>
  <si>
    <t>Infraestructura incompleta</t>
  </si>
  <si>
    <t>Exposición a clima extremo y malestar de usuarios</t>
  </si>
  <si>
    <t>En días de frío o lluvia, los usuarios deben esperar sin resguardo, lo cual afecta su experiencia.</t>
  </si>
  <si>
    <t>Desinfección inadecuada tras pandemia</t>
  </si>
  <si>
    <t>Reducción de medidas sanitarias</t>
  </si>
  <si>
    <t>Riesgo sanitario residual</t>
  </si>
  <si>
    <t>La falta de protocolos post-pandemia puede dejar espacios comunes sin higiene adecuada.</t>
  </si>
  <si>
    <t>Problemas de conectividad con sistemas de pago electrónico</t>
  </si>
  <si>
    <t>Cobertura débil o fallas técnicas</t>
  </si>
  <si>
    <t>No se pueden validar pagos online o multas</t>
  </si>
  <si>
    <t>La imposibilidad de validar pagos con tarjeta o QR ralentiza trámites que dependen de ello.</t>
  </si>
  <si>
    <t>Falta de sistema de turnos digital</t>
  </si>
  <si>
    <t>Atención por orden espontáneo</t>
  </si>
  <si>
    <t>Desorganización y conflictos entre usuarios</t>
  </si>
  <si>
    <t>La ausencia de turnos genera discusiones y confusión entre quienes esperan ser atendidos.</t>
  </si>
  <si>
    <t>Lentitud en la validación de formularios del SAG</t>
  </si>
  <si>
    <t>Procesos manuales y carga de trabajo alta</t>
  </si>
  <si>
    <t>Demoras en ingreso de productos autorizados</t>
  </si>
  <si>
    <t>Los formularios pueden tardar mucho en ser validados, especialmente en temporada alta.</t>
  </si>
  <si>
    <t>Ausencia de control de tiempos por ventanilla</t>
  </si>
  <si>
    <t>Falta de métricas en atención</t>
  </si>
  <si>
    <t>Dificultad para mejorar eficiencia</t>
  </si>
  <si>
    <t>Sin monitoreo de cuánto se tarda por ventanilla, es imposible identificar mejoras posibles.</t>
  </si>
  <si>
    <t>Problemas de financiamento por el estado</t>
  </si>
  <si>
    <t>Falta de recursos para implementar o mantener el sistema.</t>
  </si>
  <si>
    <t>Dificultad para invertir en proyectos</t>
  </si>
  <si>
    <t>Sin financiamiento es imposible invertir en mejoras para el sistema aduanero</t>
  </si>
  <si>
    <t>Corrupción por parte de la aduana.</t>
  </si>
  <si>
    <t>Mal uso de fondos o manipulación de procesos</t>
  </si>
  <si>
    <t>Desviación de finanzas</t>
  </si>
  <si>
    <t xml:space="preserve">La corrupción puede provocar faltas de dinero </t>
  </si>
  <si>
    <t>Supervisión y auditoría constante de procesos, cultura de integridad institucional</t>
  </si>
  <si>
    <t>Activación inmediata de canal de denuncias confidencial, intervención de unidad de fiscalización interna, suspensión preventiva de personal implicado y continuidad del proceso con observadores externos</t>
  </si>
  <si>
    <t>Ausencia de cliente a reuniones perioricas</t>
  </si>
  <si>
    <t>El cliente no participa o aparece en las reuniones previstas para el seguimiento del proyecto</t>
  </si>
  <si>
    <t>Afecta la toma de decisiones oportunas, lo que puede generar retrasos en el cronograma y malentendidos en los requisitos del sistema</t>
  </si>
  <si>
    <t>La falta de participación del cliente impide validar avances, ajustar requerimientos y resolver dudas en el momento adecuado</t>
  </si>
  <si>
    <t>Lentitud en la toma de decisiones del proyecto</t>
  </si>
  <si>
    <t>La aduana se demore mucho en responder a solicitudes referentes al proyecto</t>
  </si>
  <si>
    <t>La aduana al estar bajo el mando del estado, para la toma de decisiones, se requiere respuesta de este</t>
  </si>
  <si>
    <t>Retrasa actividades clave del proyecto y puede generar cuello de botella en entregables dependientes</t>
  </si>
  <si>
    <t>Decisiones críticas que requieren aprobación o validación no se resuelven a tiempo, afectando la planificación y ejecución del proyecto</t>
  </si>
  <si>
    <t>Definir claramente responsables y tiempos de decisión, reuniones periódicas con agenda y puntos críticos</t>
  </si>
  <si>
    <t>Formación de comité de crisis con aribuciones extraordinarias, redefinición de jerarquías de aprobación temporal, evaluación técnica diaria para decisiones operativas</t>
  </si>
  <si>
    <t>Exceso de regulaciones y normativas</t>
  </si>
  <si>
    <t>Complejidad en cumplir todos los requisitos legales</t>
  </si>
  <si>
    <t>Al existir una cantidad multiple de normativas, muchas de estas no seran apropiadas para ser automatizadas, o seria muy complejo automatizarlas asegurando que no se puedan sobrepasar</t>
  </si>
  <si>
    <t>Puede generar sobrecarga en el desarrollo y ajustes constantes, afectando la eficiencia y alcance del proyecto</t>
  </si>
  <si>
    <t>Requiere mayor esfuerzo en cumplimiento normativo, rediseño de funcionalidades y posibles demoras por revisiones legales</t>
  </si>
  <si>
    <t>Asesoría legal y normativa constante, participación en procesos de mejora regulatoria</t>
  </si>
  <si>
    <t>Solicitud de flexibilización temporal a autoridades regulatorias, agrupación de trámites, orientación activa a usuarios para acelerar cumplimientos</t>
  </si>
  <si>
    <t>Falta de precisión en revisiones</t>
  </si>
  <si>
    <t>Errores humanos o automatizados en validaciones</t>
  </si>
  <si>
    <t>Provoca que errores no sean detectados a tiempo, generando retrabajos y pérdida de calidad en los entregables</t>
  </si>
  <si>
    <t>Las revisiones superficiales o incompletas permiten que se arrastren problemas a fases posteriores, aumentando los costos de corrección</t>
  </si>
  <si>
    <t>Capacitación continua del personal de aduanas, implementación de tecnologías de asistencia, auditorías regulares, mejora de la documentación</t>
  </si>
  <si>
    <t>Doble revisión por equipos alternos, implementación de checklist reforzado, aumento de supervisión y control de calidad</t>
  </si>
  <si>
    <t>Discrepancia entre los objetivos de la aduana y las empresas privadas</t>
  </si>
  <si>
    <t>La discrepancia entre la aduana (Fiscalizar y controlar) y las empresas privadas (Importar/Exportar para maximizar ganancias) sea muy grande</t>
  </si>
  <si>
    <t>Dificulta la alineación estratégica y puede generar conflictos en prioridades o funcionalidades solicitadas</t>
  </si>
  <si>
    <t>Cuando no hay claridad ni consenso en los objetivos, se crean tensiones en el equipo y se incrmenta el riesgo de que el producto final no cumpla las expectativas de los usuarios clave</t>
  </si>
  <si>
    <t>Establecimiento de acuerdos de colaboración, reuniones periódicas, desarrollo de protocolos comunes, fomentar la comunicación abierta</t>
  </si>
  <si>
    <t>Convocatoria a mesa de trabajo urgente, revisión temporal de acuerdos operativos, designación de mediadores institucionales</t>
  </si>
  <si>
    <t>Incumplimiento de normas por parte de las empresas privadas</t>
  </si>
  <si>
    <t>Las empresas privadas puede que intenten incumplir las normativas definidas</t>
  </si>
  <si>
    <t>Riesgo de sanciones, rechazo de soluciones entregadas o fallas en certificaciones</t>
  </si>
  <si>
    <t>Las empresas proveedoras pueden no adaptarse completamente a normativas del SII o Aduanas, afectando el cumplimiento del proyecto</t>
  </si>
  <si>
    <t>Mantener en constante capacitación a empresas privadas para cumplimiento de normas</t>
  </si>
  <si>
    <t>Notificación y sanción inmediata según reglamento, derivación a canales legales, refuerzo de monitoreo y fiscalización sobre actores involucrados</t>
  </si>
  <si>
    <t>Falta de coordinación entre las empresas privadas y la aduana</t>
  </si>
  <si>
    <t>La aduana y las empresas privadas actuen de manera independiente para el cruze de territorios</t>
  </si>
  <si>
    <t>Causa retrasos, errores de integración y duplicación de esfuerzos</t>
  </si>
  <si>
    <t>La desorganización interinstitucional genera cuellos de botella y reduce la eficiencia del equipo</t>
  </si>
  <si>
    <t>Calidad del software no cumple expectativas</t>
  </si>
  <si>
    <t>El sistema no saitsface las necesidades solicitadas por la aduana</t>
  </si>
  <si>
    <t>Puede provocar rechazo por parte de usuarios y necesidad de retrabajos</t>
  </si>
  <si>
    <t>El sistema puede tener errores, bajo rendimiento o no ajustarse a los requerimientos funcionales definidos</t>
  </si>
  <si>
    <t>Pruebas piloto con usuarios clave, revisión de entregables en cada fase del proyecto</t>
  </si>
  <si>
    <t>Activar plan de soporte con el proveedor, revertir a versión anterior funcional, habilitar soporte técnico extendido y canal de retroalimentación de usuarios para ajustes inmediatos</t>
  </si>
  <si>
    <t>Cambios en tratados de libre comercio</t>
  </si>
  <si>
    <t>Existe una modificacion en los tratados de libre comercio</t>
  </si>
  <si>
    <t>Podrían exigir cambios en la lógica del sistema o nuevos módulos</t>
  </si>
  <si>
    <t>Modificaciones en normativas internacionales afectan procesos aduaneros que deben reflejarse en el sistema</t>
  </si>
  <si>
    <t>El sistema no fiscalizara/revisara todo lo que entre o salga de la aduana</t>
  </si>
  <si>
    <t>Al existir tantos procesos y entidades que entran y salen de la aduana, el software no sera capaz de validar todos</t>
  </si>
  <si>
    <t>Riesgo de incumplimiento de objetivos institucionales, especialmente en control y fiscalización</t>
  </si>
  <si>
    <t>El sistema puede omitir procesos clave, debilitando la supervisión del comercio exterior</t>
  </si>
  <si>
    <t>Revisión exhaustiva de requerimientos legales y operativos, simulaciones con casos reales</t>
  </si>
  <si>
    <t>Implementación temporal de controles manuales adicionales, focalización de revisiones en cargas de alto riesgo, despliegue de personal fiscalizador en terreno</t>
  </si>
  <si>
    <t>Evasion tributaria, contrabando y tráfico de drogas</t>
  </si>
  <si>
    <t>Existe falta en los controles automatizados, como humanos</t>
  </si>
  <si>
    <t>Aumenta los riesgos reputacionales y de seguridad para la institución</t>
  </si>
  <si>
    <t>Falencias en control automatizado pueden facilitar delitos tributarios o filtración de información sensible</t>
  </si>
  <si>
    <t>Paros de camioneros y aduaneros</t>
  </si>
  <si>
    <t>Existe una insatisfaccion por parte de una de las dos entidades</t>
  </si>
  <si>
    <t>Genera atrasos en pruebas, despliegue y operación del sistema</t>
  </si>
  <si>
    <t>Factores externos pueden suspender actividades relacionadas con la validación o capacitación</t>
  </si>
  <si>
    <t>Diálogo constante con gremios, evaluación de factores de malestar y resolución preventiva</t>
  </si>
  <si>
    <t>Coordinación con autoridades para establecer rutas humanitarias o mínimas, establecer diálogo preventivo con gremios, habilitación de estacionamientos de espera seguros</t>
  </si>
  <si>
    <t>Incompatibilidad con sistemas existentes</t>
  </si>
  <si>
    <t>Las nuevas tecnologias no sean compatibles con los sistemas actuales</t>
  </si>
  <si>
    <t>Si el Hardware es incompatible con el software nuevo, causara un retraso en la aplicación de esté</t>
  </si>
  <si>
    <t>Podría obligar a rediseñar módulos o limitar la interoperabilidad del sistema</t>
  </si>
  <si>
    <t>Los sistemas actuales pueden no estar preparados para integrarse con nuevas tecnologías o formatos</t>
  </si>
  <si>
    <t>Pruebas de integración tempranas, análisis de compatibilidad durante fase de diseño</t>
  </si>
  <si>
    <t>Uso de interfaces temporales de integración manual, desarrollo exprés de APIs de contingencia, apoto técnico externo para interoperabilidad mínima</t>
  </si>
  <si>
    <t>Falta de capacitación para el software</t>
  </si>
  <si>
    <t>Los usuarios no saben como utilizar el sistema de manera correcta</t>
  </si>
  <si>
    <t>Aun existen personas que no están adecuadas con las tecnologias actuales, por lo que afectara en el uso diario la falta de capacitación del software</t>
  </si>
  <si>
    <t>Disminuye la adopción y efectividad en el uso del sistema</t>
  </si>
  <si>
    <t>Los uduarios no comprenderán ni aprovecharán plenamente las funcionalidades si no reciben formación adecuada</t>
  </si>
  <si>
    <t>Entrenamiento planificado y práctico con seguimiento, manuales y tutoriales disponibles en línea</t>
  </si>
  <si>
    <t>Capacitación relámpago con enfoque práctico, asistencia directa en módulos críticos, manuales simplificados distribuidos físicamente</t>
  </si>
  <si>
    <t>Planificación, Puesta en marcha</t>
  </si>
  <si>
    <t>Saturación de usuarios</t>
  </si>
  <si>
    <t>Alto tráfico colapsa el sistema</t>
  </si>
  <si>
    <t>Puede provocar lentitud, caídas del sistema y frustación de usuarios clave</t>
  </si>
  <si>
    <t>Si la carga esperada de usuarios no se considera, el sistema no podrá soportar el uso simultáneo en horarios críticos</t>
  </si>
  <si>
    <t>Pruebas de estrés y escalabilidad, infraestructura en la nube con capacidad dinámica</t>
  </si>
  <si>
    <t>Reprogramación por turnos, reforzamiento de módulos de atención más lentos, desvío de usuarios a otros puntos de ingreso cuando sea posible</t>
  </si>
  <si>
    <t>Infraestructura inadecuada</t>
  </si>
  <si>
    <t>Servidores o redes no soportan la demanda</t>
  </si>
  <si>
    <t>Dificulta la implenentación eficiente y segura del sistema</t>
  </si>
  <si>
    <t>Falta de hardware, redes o soporte técnico adecuado puede dejar inoperativo el sistema o limitar su rendimiento</t>
  </si>
  <si>
    <t>Diagnóstico previo de condiciones físicas, plan de mejoras antes del despliegue</t>
  </si>
  <si>
    <t>Acondicionamiento de espacios alternativos (Carpas, containers), refuerzo estructural temporal, derivación de flujos  módulos menos congestionados</t>
  </si>
  <si>
    <t>Diferencias con Aduana Argentina</t>
  </si>
  <si>
    <t>Se genera discrepancia entre los softwares utilizados en la aduana chilena con la argentina</t>
  </si>
  <si>
    <t>Afecta la integración y cooperación en procesos binacionales</t>
  </si>
  <si>
    <t>Desacuerdos o diferencias de procedimientos pueden impedir una correcta sincronización de procesos aduaneros</t>
  </si>
  <si>
    <t>Acuerdos binacionales específicos para el proyecto, mesas técnicas con representantes de ambos países</t>
  </si>
  <si>
    <t>Activación de comité binacional de resolución rápida, establecimiento de medidas espejo, acuerdos operativos temporales</t>
  </si>
  <si>
    <t>Incumplimiento de plazos en el proyecto</t>
  </si>
  <si>
    <t>Se generan atrasos en el proyecto</t>
  </si>
  <si>
    <t>Aumenta los costos y afecta la planificación de otras etapas o proyectos</t>
  </si>
  <si>
    <t>Mal manejo del cronograma o eventos externos puede extender el tiempo de ejecución</t>
  </si>
  <si>
    <t>Gestión activa del cronograma con herramientas de control, identificación temprana de desviaciones</t>
  </si>
  <si>
    <t>Refefinición de hitos con cronograma ajustado, priorización de funcionalidades mínimas viables, incorporación de equipos adicionales si es viable</t>
  </si>
  <si>
    <t>Planificación, Desarrollo</t>
  </si>
  <si>
    <t>Mediano Costo</t>
  </si>
  <si>
    <t>Sobrepaso en los costos del proyecto</t>
  </si>
  <si>
    <t>El proyecto sobrepasa los costos previstos</t>
  </si>
  <si>
    <t>Genera necesidad de reasignar presupuesto o reducir el alcance funcional</t>
  </si>
  <si>
    <t>Gastos no previstos o mala estimación inicial afectan la sostenibilidad financiera del proyecto</t>
  </si>
  <si>
    <t>Estimaciones conservadoras y colchones presupuestarios, revisión constante del avance financiero</t>
  </si>
  <si>
    <t>Activar reserva presupuestaria de contingencia, renegociación de contratos y licitaciones, evaluación de postergación de componentes no esenciales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</si>
</sst>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M/yyyy"/>
    <numFmt numFmtId="165" formatCode="dd/mm/yyyy"/>
    <numFmt numFmtId="166" formatCode="D/M/YYYY"/>
    <numFmt numFmtId="167" formatCode="[$$]#,##0"/>
  </numFmts>
  <fonts count="15">
    <font>
      <sz val="10.0"/>
      <color rgb="FF000000"/>
      <name val="Arial"/>
      <scheme val="minor"/>
    </font>
    <font>
      <sz val="10.0"/>
      <color theme="1"/>
      <name val="Century Gothic"/>
    </font>
    <font/>
    <font>
      <b/>
      <sz val="18.0"/>
      <color rgb="FF000000"/>
      <name val="Calibri"/>
    </font>
    <font>
      <b/>
      <sz val="11.0"/>
      <color rgb="FF000000"/>
      <name val="Calibri"/>
    </font>
    <font>
      <sz val="10.0"/>
      <color theme="1"/>
      <name val="Arial"/>
    </font>
    <font>
      <u/>
      <sz val="10.0"/>
      <color rgb="FF000000"/>
      <name val="Arial"/>
    </font>
    <font>
      <b/>
      <sz val="10.0"/>
      <color theme="1"/>
      <name val="Century Gothic"/>
    </font>
    <font>
      <b/>
      <sz val="10.0"/>
      <color theme="1"/>
      <name val="Arial"/>
    </font>
    <font>
      <sz val="10.0"/>
      <color rgb="FFFFFFFF"/>
      <name val="Arial"/>
    </font>
    <font>
      <color theme="1"/>
      <name val="Arial"/>
    </font>
    <font>
      <sz val="10.0"/>
      <color rgb="FF000000"/>
      <name val="Century Gothic"/>
    </font>
    <font>
      <color theme="1"/>
      <name val="Century Gothic"/>
    </font>
    <font>
      <sz val="16.0"/>
      <color theme="1"/>
      <name val="Century Gothic"/>
    </font>
    <font>
      <sz val="12.0"/>
      <color rgb="FFF8FAFF"/>
      <name val="DeepSeek-CJK-patch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414158"/>
        <bgColor rgb="FF414158"/>
      </patternFill>
    </fill>
  </fills>
  <borders count="43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</border>
    <border>
      <left/>
      <top/>
    </border>
    <border>
      <left/>
      <top/>
      <bottom/>
    </border>
    <border>
      <left/>
      <right/>
      <bottom/>
    </border>
    <border>
      <left/>
      <bottom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2" fillId="3" fontId="4" numFmtId="0" xfId="0" applyAlignment="1" applyBorder="1" applyFill="1" applyFont="1">
      <alignment horizontal="left"/>
    </xf>
    <xf borderId="7" fillId="4" fontId="5" numFmtId="0" xfId="0" applyAlignment="1" applyBorder="1" applyFill="1" applyFont="1">
      <alignment horizontal="left"/>
    </xf>
    <xf borderId="8" fillId="0" fontId="2" numFmtId="0" xfId="0" applyBorder="1" applyFont="1"/>
    <xf borderId="9" fillId="0" fontId="2" numFmtId="0" xfId="0" applyBorder="1" applyFont="1"/>
    <xf borderId="10" fillId="5" fontId="1" numFmtId="0" xfId="0" applyAlignment="1" applyBorder="1" applyFill="1" applyFont="1">
      <alignment horizontal="center" readingOrder="0" shrinkToFit="0" vertical="center" wrapText="1"/>
    </xf>
    <xf borderId="11" fillId="0" fontId="2" numFmtId="0" xfId="0" applyBorder="1" applyFont="1"/>
    <xf borderId="0" fillId="0" fontId="6" numFmtId="0" xfId="0" applyAlignment="1" applyFont="1">
      <alignment horizontal="center" readingOrder="0"/>
    </xf>
    <xf borderId="12" fillId="4" fontId="5" numFmtId="0" xfId="0" applyAlignment="1" applyBorder="1" applyFont="1">
      <alignment horizontal="left"/>
    </xf>
    <xf borderId="13" fillId="4" fontId="5" numFmtId="0" xfId="0" applyAlignment="1" applyBorder="1" applyFont="1">
      <alignment horizontal="left"/>
    </xf>
    <xf borderId="14" fillId="4" fontId="5" numFmtId="0" xfId="0" applyAlignment="1" applyBorder="1" applyFont="1">
      <alignment horizontal="left"/>
    </xf>
    <xf borderId="10" fillId="2" fontId="1" numFmtId="0" xfId="0" applyAlignment="1" applyBorder="1" applyFont="1">
      <alignment horizontal="center" readingOrder="0" shrinkToFit="0" vertical="center" wrapText="1"/>
    </xf>
    <xf borderId="10" fillId="2" fontId="1" numFmtId="164" xfId="0" applyAlignment="1" applyBorder="1" applyFont="1" applyNumberFormat="1">
      <alignment horizontal="left" readingOrder="0" shrinkToFit="0" vertical="center" wrapText="1"/>
    </xf>
    <xf borderId="10" fillId="2" fontId="1" numFmtId="0" xfId="0" applyAlignment="1" applyBorder="1" applyFont="1">
      <alignment horizontal="left" readingOrder="0" shrinkToFit="0" vertical="center" wrapText="1"/>
    </xf>
    <xf borderId="15" fillId="4" fontId="5" numFmtId="0" xfId="0" applyAlignment="1" applyBorder="1" applyFont="1">
      <alignment horizontal="right"/>
    </xf>
    <xf borderId="16" fillId="2" fontId="1" numFmtId="0" xfId="0" applyAlignment="1" applyBorder="1" applyFont="1">
      <alignment shrinkToFit="0" vertical="center" wrapText="1"/>
    </xf>
    <xf borderId="17" fillId="4" fontId="5" numFmtId="0" xfId="0" applyAlignment="1" applyBorder="1" applyFont="1">
      <alignment horizontal="left"/>
    </xf>
    <xf borderId="18" fillId="0" fontId="2" numFmtId="0" xfId="0" applyBorder="1" applyFont="1"/>
    <xf borderId="19" fillId="0" fontId="2" numFmtId="0" xfId="0" applyBorder="1" applyFont="1"/>
    <xf borderId="20" fillId="2" fontId="1" numFmtId="0" xfId="0" applyAlignment="1" applyBorder="1" applyFont="1">
      <alignment horizontal="center" readingOrder="0" shrinkToFit="0" vertical="center" wrapText="1"/>
    </xf>
    <xf borderId="21" fillId="0" fontId="2" numFmtId="0" xfId="0" applyBorder="1" applyFont="1"/>
    <xf borderId="22" fillId="3" fontId="7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24" fillId="0" fontId="2" numFmtId="0" xfId="0" applyBorder="1" applyFont="1"/>
    <xf borderId="25" fillId="2" fontId="1" numFmtId="0" xfId="0" applyAlignment="1" applyBorder="1" applyFont="1">
      <alignment shrinkToFit="0" vertical="center" wrapText="1"/>
    </xf>
    <xf borderId="26" fillId="2" fontId="1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shrinkToFit="0" vertical="center" wrapText="1"/>
    </xf>
    <xf borderId="10" fillId="4" fontId="8" numFmtId="0" xfId="0" applyAlignment="1" applyBorder="1" applyFont="1">
      <alignment horizontal="center" shrinkToFit="0" vertical="center" wrapText="1"/>
    </xf>
    <xf borderId="27" fillId="4" fontId="8" numFmtId="0" xfId="0" applyAlignment="1" applyBorder="1" applyFont="1">
      <alignment horizontal="center" shrinkToFit="0" vertical="center" wrapText="1"/>
    </xf>
    <xf borderId="15" fillId="4" fontId="8" numFmtId="0" xfId="0" applyAlignment="1" applyBorder="1" applyFont="1">
      <alignment horizontal="center" shrinkToFit="0" vertical="center" wrapText="1"/>
    </xf>
    <xf borderId="16" fillId="4" fontId="8" numFmtId="0" xfId="0" applyAlignment="1" applyBorder="1" applyFont="1">
      <alignment horizontal="center" shrinkToFit="0" vertical="center" wrapText="1"/>
    </xf>
    <xf borderId="27" fillId="4" fontId="5" numFmtId="0" xfId="0" applyAlignment="1" applyBorder="1" applyFont="1">
      <alignment horizontal="center" shrinkToFit="0" vertical="center" wrapText="1"/>
    </xf>
    <xf borderId="27" fillId="6" fontId="9" numFmtId="0" xfId="0" applyAlignment="1" applyBorder="1" applyFill="1" applyFont="1">
      <alignment horizontal="center" shrinkToFit="0" vertical="center" wrapText="1"/>
    </xf>
    <xf borderId="16" fillId="6" fontId="9" numFmtId="0" xfId="0" applyAlignment="1" applyBorder="1" applyFont="1">
      <alignment shrinkToFit="0" vertical="center" wrapText="1"/>
    </xf>
    <xf borderId="27" fillId="7" fontId="5" numFmtId="0" xfId="0" applyAlignment="1" applyBorder="1" applyFill="1" applyFont="1">
      <alignment horizontal="center" shrinkToFit="0" vertical="center" wrapText="1"/>
    </xf>
    <xf borderId="15" fillId="7" fontId="5" numFmtId="0" xfId="0" applyAlignment="1" applyBorder="1" applyFont="1">
      <alignment horizontal="center" shrinkToFit="0" vertical="center" wrapText="1"/>
    </xf>
    <xf borderId="16" fillId="7" fontId="5" numFmtId="0" xfId="0" applyAlignment="1" applyBorder="1" applyFont="1">
      <alignment shrinkToFit="0" vertical="center" wrapText="1"/>
    </xf>
    <xf borderId="28" fillId="4" fontId="8" numFmtId="0" xfId="0" applyAlignment="1" applyBorder="1" applyFont="1">
      <alignment horizontal="center" shrinkToFit="0" textRotation="90" vertical="center" wrapText="1"/>
    </xf>
    <xf borderId="27" fillId="8" fontId="9" numFmtId="0" xfId="0" applyAlignment="1" applyBorder="1" applyFill="1" applyFont="1">
      <alignment horizontal="center" shrinkToFit="0" vertical="center" wrapText="1"/>
    </xf>
    <xf borderId="15" fillId="8" fontId="9" numFmtId="0" xfId="0" applyAlignment="1" applyBorder="1" applyFont="1">
      <alignment horizontal="center" shrinkToFit="0" vertical="center" wrapText="1"/>
    </xf>
    <xf borderId="16" fillId="8" fontId="9" numFmtId="0" xfId="0" applyAlignment="1" applyBorder="1" applyFont="1">
      <alignment shrinkToFit="0" vertical="center" wrapText="1"/>
    </xf>
    <xf borderId="29" fillId="0" fontId="2" numFmtId="0" xfId="0" applyBorder="1" applyFont="1"/>
    <xf borderId="26" fillId="2" fontId="5" numFmtId="0" xfId="0" applyAlignment="1" applyBorder="1" applyFont="1">
      <alignment shrinkToFit="0" vertical="center" wrapText="1"/>
    </xf>
    <xf borderId="30" fillId="0" fontId="2" numFmtId="0" xfId="0" applyBorder="1" applyFont="1"/>
    <xf borderId="16" fillId="6" fontId="9" numFmtId="0" xfId="0" applyAlignment="1" applyBorder="1" applyFont="1">
      <alignment horizontal="left" shrinkToFit="0" vertical="top" wrapText="1"/>
    </xf>
    <xf borderId="16" fillId="7" fontId="5" numFmtId="0" xfId="0" applyAlignment="1" applyBorder="1" applyFont="1">
      <alignment horizontal="left" shrinkToFit="0" vertical="top" wrapText="1"/>
    </xf>
    <xf borderId="16" fillId="8" fontId="9" numFmtId="0" xfId="0" applyAlignment="1" applyBorder="1" applyFont="1">
      <alignment horizontal="left" shrinkToFit="0" vertical="top" wrapText="1"/>
    </xf>
    <xf borderId="31" fillId="2" fontId="1" numFmtId="0" xfId="0" applyAlignment="1" applyBorder="1" applyFont="1">
      <alignment shrinkToFit="0" vertical="center" wrapText="1"/>
    </xf>
    <xf borderId="32" fillId="2" fontId="1" numFmtId="0" xfId="0" applyAlignment="1" applyBorder="1" applyFont="1">
      <alignment shrinkToFit="0" vertical="center" wrapText="1"/>
    </xf>
    <xf borderId="32" fillId="2" fontId="5" numFmtId="0" xfId="0" applyAlignment="1" applyBorder="1" applyFont="1">
      <alignment shrinkToFit="0" vertical="center" wrapText="1"/>
    </xf>
    <xf borderId="33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34" fillId="2" fontId="1" numFmtId="0" xfId="0" applyAlignment="1" applyBorder="1" applyFont="1">
      <alignment horizontal="center" shrinkToFit="0" vertical="center" wrapText="1"/>
    </xf>
    <xf borderId="35" fillId="2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36" fillId="2" fontId="1" numFmtId="0" xfId="0" applyAlignment="1" applyBorder="1" applyFont="1">
      <alignment horizontal="center" shrinkToFit="0" vertical="center" wrapText="1"/>
    </xf>
    <xf borderId="27" fillId="0" fontId="5" numFmtId="0" xfId="0" applyAlignment="1" applyBorder="1" applyFont="1">
      <alignment horizontal="center"/>
    </xf>
    <xf borderId="27" fillId="0" fontId="5" numFmtId="165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27" fillId="0" fontId="5" numFmtId="0" xfId="0" applyAlignment="1" applyBorder="1" applyFont="1">
      <alignment horizontal="center" readingOrder="0"/>
    </xf>
    <xf borderId="37" fillId="2" fontId="1" numFmtId="0" xfId="0" applyAlignment="1" applyBorder="1" applyFont="1">
      <alignment horizontal="center" shrinkToFit="0" vertical="center" wrapText="1"/>
    </xf>
    <xf borderId="38" fillId="2" fontId="1" numFmtId="0" xfId="0" applyAlignment="1" applyBorder="1" applyFont="1">
      <alignment horizontal="center" shrinkToFit="0" vertical="center" wrapText="1"/>
    </xf>
    <xf borderId="27" fillId="9" fontId="1" numFmtId="0" xfId="0" applyAlignment="1" applyBorder="1" applyFill="1" applyFont="1">
      <alignment horizontal="center" shrinkToFit="0" vertical="center" wrapText="1"/>
    </xf>
    <xf borderId="30" fillId="9" fontId="1" numFmtId="0" xfId="0" applyAlignment="1" applyBorder="1" applyFont="1">
      <alignment horizontal="center" shrinkToFit="0" vertical="center" wrapText="1"/>
    </xf>
    <xf borderId="27" fillId="2" fontId="1" numFmtId="165" xfId="0" applyAlignment="1" applyBorder="1" applyFont="1" applyNumberFormat="1">
      <alignment horizontal="center" readingOrder="0" shrinkToFit="0" vertical="center" wrapText="1"/>
    </xf>
    <xf borderId="27" fillId="2" fontId="1" numFmtId="0" xfId="0" applyAlignment="1" applyBorder="1" applyFont="1">
      <alignment horizontal="center" shrinkToFit="0" vertical="center" wrapText="1"/>
    </xf>
    <xf borderId="27" fillId="0" fontId="10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27" fillId="2" fontId="11" numFmtId="0" xfId="0" applyAlignment="1" applyBorder="1" applyFont="1">
      <alignment horizontal="center" shrinkToFit="0" vertical="center" wrapText="1"/>
    </xf>
    <xf borderId="27" fillId="2" fontId="1" numFmtId="0" xfId="0" applyAlignment="1" applyBorder="1" applyFont="1">
      <alignment horizontal="center" readingOrder="0" shrinkToFit="0" vertical="center" wrapText="1"/>
    </xf>
    <xf borderId="27" fillId="2" fontId="1" numFmtId="166" xfId="0" applyAlignment="1" applyBorder="1" applyFont="1" applyNumberFormat="1">
      <alignment horizontal="center" shrinkToFit="0" vertical="center" wrapText="1"/>
    </xf>
    <xf borderId="27" fillId="0" fontId="1" numFmtId="0" xfId="0" applyAlignment="1" applyBorder="1" applyFont="1">
      <alignment horizontal="left" shrinkToFit="0" vertical="top" wrapText="1"/>
    </xf>
    <xf borderId="27" fillId="0" fontId="7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27" fillId="0" fontId="10" numFmtId="0" xfId="0" applyBorder="1" applyFont="1"/>
    <xf borderId="0" fillId="0" fontId="10" numFmtId="0" xfId="0" applyFont="1"/>
    <xf borderId="39" fillId="0" fontId="1" numFmtId="0" xfId="0" applyAlignment="1" applyBorder="1" applyFont="1">
      <alignment horizontal="center" shrinkToFit="0" vertical="center" wrapText="1"/>
    </xf>
    <xf borderId="40" fillId="0" fontId="1" numFmtId="0" xfId="0" applyAlignment="1" applyBorder="1" applyFont="1">
      <alignment horizontal="center" shrinkToFit="0" vertical="center" wrapText="1"/>
    </xf>
    <xf borderId="40" fillId="0" fontId="13" numFmtId="0" xfId="0" applyAlignment="1" applyBorder="1" applyFont="1">
      <alignment horizontal="center" shrinkToFit="0" vertical="center" wrapText="1"/>
    </xf>
    <xf borderId="41" fillId="0" fontId="13" numFmtId="0" xfId="0" applyAlignment="1" applyBorder="1" applyFont="1">
      <alignment horizontal="center" shrinkToFit="0" vertical="center" wrapText="1"/>
    </xf>
    <xf borderId="27" fillId="2" fontId="1" numFmtId="166" xfId="0" applyAlignment="1" applyBorder="1" applyFont="1" applyNumberFormat="1">
      <alignment shrinkToFit="0" vertical="center" wrapText="1"/>
    </xf>
    <xf borderId="27" fillId="2" fontId="1" numFmtId="0" xfId="0" applyAlignment="1" applyBorder="1" applyFont="1">
      <alignment horizontal="center" shrinkToFit="0" vertical="center" wrapText="1"/>
    </xf>
    <xf borderId="27" fillId="2" fontId="1" numFmtId="0" xfId="0" applyAlignment="1" applyBorder="1" applyFont="1">
      <alignment shrinkToFit="0" vertical="center" wrapText="1"/>
    </xf>
    <xf borderId="27" fillId="0" fontId="1" numFmtId="0" xfId="0" applyAlignment="1" applyBorder="1" applyFont="1">
      <alignment shrinkToFit="0" vertical="center" wrapText="1"/>
    </xf>
    <xf borderId="27" fillId="0" fontId="1" numFmtId="0" xfId="0" applyAlignment="1" applyBorder="1" applyFont="1">
      <alignment horizontal="left" shrinkToFit="0" vertical="top" wrapText="1"/>
    </xf>
    <xf borderId="27" fillId="0" fontId="7" numFmtId="0" xfId="0" applyAlignment="1" applyBorder="1" applyFont="1">
      <alignment horizontal="center" shrinkToFit="0" vertical="center" wrapText="1"/>
    </xf>
    <xf borderId="27" fillId="2" fontId="1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27" fillId="2" fontId="1" numFmtId="167" xfId="0" applyAlignment="1" applyBorder="1" applyFont="1" applyNumberFormat="1">
      <alignment shrinkToFit="0" vertical="center" wrapText="1"/>
    </xf>
    <xf borderId="0" fillId="10" fontId="14" numFmtId="0" xfId="0" applyFill="1" applyFont="1"/>
    <xf borderId="42" fillId="0" fontId="12" numFmtId="0" xfId="0" applyAlignment="1" applyBorder="1" applyFont="1">
      <alignment horizontal="center" shrinkToFit="0" vertical="center" wrapText="1"/>
    </xf>
    <xf borderId="27" fillId="0" fontId="10" numFmtId="0" xfId="0" applyAlignment="1" applyBorder="1" applyFont="1">
      <alignment shrinkToFit="0" vertical="center" wrapText="0"/>
    </xf>
  </cellXfs>
  <cellStyles count="1">
    <cellStyle xfId="0" name="Normal" builtinId="0"/>
  </cellStyles>
  <dxfs count="11"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  <color rgb="FFFFFFFF"/>
      </font>
      <fill>
        <patternFill patternType="solid">
          <fgColor rgb="FF008000"/>
          <bgColor rgb="FF008000"/>
        </patternFill>
      </fill>
      <border/>
    </dxf>
    <dxf>
      <font>
        <b/>
        <color rgb="FFFFFFFF"/>
      </font>
      <fill>
        <patternFill patternType="solid">
          <fgColor rgb="FF339966"/>
          <bgColor rgb="FF339966"/>
        </patternFill>
      </fill>
      <border/>
    </dxf>
    <dxf>
      <font>
        <color rgb="FFFFFFFF"/>
      </font>
      <fill>
        <patternFill patternType="solid">
          <fgColor rgb="FF008000"/>
          <bgColor rgb="FF008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a-style">
      <tableStyleElement dxfId="8" type="headerRow"/>
      <tableStyleElement dxfId="9" type="firstRowStripe"/>
      <tableStyleElement dxfId="10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82" displayName="Table_1" name="Table_1" id="1">
  <tableColumns count="20">
    <tableColumn name="Fecha _x000a_Identificación" id="1"/>
    <tableColumn name="Nro." id="2"/>
    <tableColumn name="Riesgo/Evento de Riesgo" id="3"/>
    <tableColumn name="Categoría" id="4"/>
    <tableColumn name="Subcategoria" id="5"/>
    <tableColumn name="Fuente/Causa/_x000a_Condición" id="6"/>
    <tableColumn name="Probabilidad" id="7"/>
    <tableColumn name="Justificacion" id="8"/>
    <tableColumn name="Valor de Probabilidad" id="9"/>
    <tableColumn name="Impacto" id="10"/>
    <tableColumn name="Valor Impacto" id="11"/>
    <tableColumn name="Magnitud" id="12"/>
    <tableColumn name="Impacta a/ Consecuencias_x000a_Objetivos Proyecto" id="13"/>
    <tableColumn name="Descripción y Comentarios" id="14"/>
    <tableColumn name="Plan de Mitigación" id="15"/>
    <tableColumn name="Plan de continguencia" id="16"/>
    <tableColumn name="Cuando _x000a_Fecha estimada de ocurrencia (ETAPA PROYECTO)" id="17"/>
    <tableColumn name="Fases en caso de que sea transversal" id="18"/>
    <tableColumn name="Riesgo/Evento de Riesgo ($)" id="19"/>
    <tableColumn name="Clasificación Riesgo $" id="20"/>
  </tableColumns>
  <tableStyleInfo name="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0.88"/>
    <col customWidth="1" min="3" max="3" width="3.63"/>
    <col customWidth="1" min="4" max="4" width="6.88"/>
    <col customWidth="1" min="5" max="5" width="5.13"/>
    <col customWidth="1" min="6" max="6" width="7.63"/>
    <col customWidth="1" min="7" max="7" width="8.38"/>
    <col customWidth="1" min="8" max="8" width="6.63"/>
    <col customWidth="1" min="9" max="9" width="2.13"/>
    <col customWidth="1" min="10" max="10" width="14.13"/>
    <col customWidth="1" min="11" max="11" width="13.13"/>
    <col customWidth="1" min="12" max="12" width="38.0"/>
    <col customWidth="1" min="13" max="26" width="11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0.0" customHeight="1">
      <c r="A2" s="1"/>
      <c r="B2" s="2"/>
      <c r="C2" s="3"/>
      <c r="D2" s="3"/>
      <c r="E2" s="3"/>
      <c r="F2" s="3"/>
      <c r="G2" s="4"/>
      <c r="H2" s="5" t="s">
        <v>0</v>
      </c>
      <c r="I2" s="3"/>
      <c r="J2" s="3"/>
      <c r="K2" s="3"/>
      <c r="L2" s="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7" t="s">
        <v>1</v>
      </c>
      <c r="D5" s="3"/>
      <c r="E5" s="3"/>
      <c r="F5" s="3"/>
      <c r="G5" s="3"/>
      <c r="H5" s="3"/>
      <c r="I5" s="3"/>
      <c r="J5" s="3"/>
      <c r="K5" s="3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8" t="s">
        <v>2</v>
      </c>
      <c r="D6" s="9"/>
      <c r="E6" s="9"/>
      <c r="F6" s="10"/>
      <c r="G6" s="11">
        <v>1.0</v>
      </c>
      <c r="H6" s="9"/>
      <c r="I6" s="9"/>
      <c r="J6" s="9"/>
      <c r="K6" s="9"/>
      <c r="L6" s="1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/>
      <c r="C7" s="8" t="s">
        <v>3</v>
      </c>
      <c r="D7" s="9"/>
      <c r="E7" s="9"/>
      <c r="F7" s="10"/>
      <c r="G7" s="13" t="s">
        <v>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4" t="s">
        <v>5</v>
      </c>
      <c r="D8" s="15"/>
      <c r="E8" s="15"/>
      <c r="F8" s="16"/>
      <c r="G8" s="17" t="s">
        <v>6</v>
      </c>
      <c r="H8" s="9"/>
      <c r="I8" s="9"/>
      <c r="J8" s="9"/>
      <c r="K8" s="9"/>
      <c r="L8" s="1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/>
      <c r="C9" s="14" t="s">
        <v>7</v>
      </c>
      <c r="D9" s="15"/>
      <c r="E9" s="15"/>
      <c r="F9" s="16"/>
      <c r="G9" s="17" t="s">
        <v>8</v>
      </c>
      <c r="H9" s="9"/>
      <c r="I9" s="9"/>
      <c r="J9" s="9"/>
      <c r="K9" s="9"/>
      <c r="L9" s="1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8" t="s">
        <v>9</v>
      </c>
      <c r="D10" s="9"/>
      <c r="E10" s="9"/>
      <c r="F10" s="10"/>
      <c r="G10" s="18">
        <v>45880.0</v>
      </c>
      <c r="H10" s="9"/>
      <c r="I10" s="9"/>
      <c r="J10" s="9"/>
      <c r="K10" s="9"/>
      <c r="L10" s="1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8" t="s">
        <v>10</v>
      </c>
      <c r="D11" s="9"/>
      <c r="E11" s="9"/>
      <c r="F11" s="10"/>
      <c r="G11" s="18">
        <v>45965.0</v>
      </c>
      <c r="H11" s="9"/>
      <c r="I11" s="9"/>
      <c r="J11" s="9"/>
      <c r="K11" s="9"/>
      <c r="L11" s="1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8" t="s">
        <v>11</v>
      </c>
      <c r="D12" s="9"/>
      <c r="E12" s="9"/>
      <c r="F12" s="10"/>
      <c r="G12" s="19" t="s">
        <v>12</v>
      </c>
      <c r="H12" s="9"/>
      <c r="I12" s="9"/>
      <c r="J12" s="10"/>
      <c r="K12" s="20" t="s">
        <v>13</v>
      </c>
      <c r="L12" s="2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22" t="s">
        <v>14</v>
      </c>
      <c r="D13" s="23"/>
      <c r="E13" s="23"/>
      <c r="F13" s="24"/>
      <c r="G13" s="25" t="s">
        <v>15</v>
      </c>
      <c r="H13" s="23"/>
      <c r="I13" s="23"/>
      <c r="J13" s="23"/>
      <c r="K13" s="23"/>
      <c r="L13" s="2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7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7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7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27" t="s">
        <v>16</v>
      </c>
      <c r="C17" s="28"/>
      <c r="D17" s="28"/>
      <c r="E17" s="28"/>
      <c r="F17" s="28"/>
      <c r="G17" s="28"/>
      <c r="H17" s="28"/>
      <c r="I17" s="28"/>
      <c r="J17" s="28"/>
      <c r="K17" s="28"/>
      <c r="L17" s="2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30"/>
      <c r="C18" s="1"/>
      <c r="D18" s="1"/>
      <c r="E18" s="1"/>
      <c r="F18" s="1"/>
      <c r="G18" s="1"/>
      <c r="H18" s="1"/>
      <c r="I18" s="1"/>
      <c r="J18" s="1"/>
      <c r="K18" s="1"/>
      <c r="L18" s="3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30"/>
      <c r="C19" s="32"/>
      <c r="D19" s="32"/>
      <c r="E19" s="32"/>
      <c r="F19" s="33" t="s">
        <v>17</v>
      </c>
      <c r="G19" s="9"/>
      <c r="H19" s="10"/>
      <c r="I19" s="32"/>
      <c r="J19" s="34" t="s">
        <v>18</v>
      </c>
      <c r="K19" s="35" t="s">
        <v>19</v>
      </c>
      <c r="L19" s="36" t="s">
        <v>20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30"/>
      <c r="C20" s="32"/>
      <c r="D20" s="32"/>
      <c r="E20" s="32"/>
      <c r="F20" s="37" t="s">
        <v>21</v>
      </c>
      <c r="G20" s="37" t="s">
        <v>22</v>
      </c>
      <c r="H20" s="37" t="s">
        <v>23</v>
      </c>
      <c r="I20" s="32"/>
      <c r="J20" s="38" t="s">
        <v>24</v>
      </c>
      <c r="K20" s="38">
        <v>1.0</v>
      </c>
      <c r="L20" s="39" t="s">
        <v>25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30"/>
      <c r="C21" s="32"/>
      <c r="D21" s="32"/>
      <c r="E21" s="32"/>
      <c r="F21" s="37">
        <v>1.0</v>
      </c>
      <c r="G21" s="37">
        <v>2.0</v>
      </c>
      <c r="H21" s="37">
        <v>3.0</v>
      </c>
      <c r="I21" s="32"/>
      <c r="J21" s="40" t="s">
        <v>26</v>
      </c>
      <c r="K21" s="41">
        <v>2.0</v>
      </c>
      <c r="L21" s="42" t="s">
        <v>27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30"/>
      <c r="C22" s="43" t="s">
        <v>28</v>
      </c>
      <c r="D22" s="37" t="s">
        <v>24</v>
      </c>
      <c r="E22" s="37">
        <v>1.0</v>
      </c>
      <c r="F22" s="38">
        <f>E22*F21</f>
        <v>1</v>
      </c>
      <c r="G22" s="38">
        <f>E22*G21</f>
        <v>2</v>
      </c>
      <c r="H22" s="40">
        <f>E22*H21</f>
        <v>3</v>
      </c>
      <c r="I22" s="32"/>
      <c r="J22" s="44" t="s">
        <v>29</v>
      </c>
      <c r="K22" s="45">
        <v>3.0</v>
      </c>
      <c r="L22" s="46" t="s">
        <v>30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30"/>
      <c r="C23" s="47"/>
      <c r="D23" s="37" t="s">
        <v>26</v>
      </c>
      <c r="E23" s="37">
        <v>2.0</v>
      </c>
      <c r="F23" s="38">
        <f>E23*F21</f>
        <v>2</v>
      </c>
      <c r="G23" s="40">
        <f>E23*G21</f>
        <v>4</v>
      </c>
      <c r="H23" s="44">
        <f>E23*H21</f>
        <v>6</v>
      </c>
      <c r="I23" s="32"/>
      <c r="J23" s="32"/>
      <c r="K23" s="32"/>
      <c r="L23" s="48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30"/>
      <c r="C24" s="49"/>
      <c r="D24" s="37" t="s">
        <v>29</v>
      </c>
      <c r="E24" s="37">
        <v>3.0</v>
      </c>
      <c r="F24" s="40">
        <f>E24*F21</f>
        <v>3</v>
      </c>
      <c r="G24" s="44">
        <f>E24*G21</f>
        <v>6</v>
      </c>
      <c r="H24" s="44">
        <f>E24*H21</f>
        <v>9</v>
      </c>
      <c r="I24" s="32"/>
      <c r="J24" s="34" t="s">
        <v>31</v>
      </c>
      <c r="K24" s="35" t="s">
        <v>32</v>
      </c>
      <c r="L24" s="36" t="s">
        <v>20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30"/>
      <c r="C25" s="32"/>
      <c r="D25" s="32"/>
      <c r="E25" s="32"/>
      <c r="F25" s="32"/>
      <c r="G25" s="32"/>
      <c r="H25" s="32"/>
      <c r="I25" s="32"/>
      <c r="J25" s="38" t="s">
        <v>21</v>
      </c>
      <c r="K25" s="38">
        <v>1.0</v>
      </c>
      <c r="L25" s="50" t="s">
        <v>33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30"/>
      <c r="C26" s="1"/>
      <c r="D26" s="32"/>
      <c r="E26" s="32"/>
      <c r="F26" s="1"/>
      <c r="G26" s="1"/>
      <c r="H26" s="32"/>
      <c r="I26" s="1"/>
      <c r="J26" s="40" t="s">
        <v>22</v>
      </c>
      <c r="K26" s="41">
        <v>2.0</v>
      </c>
      <c r="L26" s="51" t="s">
        <v>34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30"/>
      <c r="C27" s="1"/>
      <c r="D27" s="32"/>
      <c r="E27" s="32"/>
      <c r="F27" s="1"/>
      <c r="G27" s="1"/>
      <c r="H27" s="1"/>
      <c r="I27" s="1"/>
      <c r="J27" s="44" t="s">
        <v>23</v>
      </c>
      <c r="K27" s="45">
        <v>3.0</v>
      </c>
      <c r="L27" s="52" t="s">
        <v>35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9.75" customHeight="1">
      <c r="A28" s="1"/>
      <c r="B28" s="53"/>
      <c r="C28" s="54"/>
      <c r="D28" s="55"/>
      <c r="E28" s="55"/>
      <c r="F28" s="54"/>
      <c r="G28" s="54"/>
      <c r="H28" s="54"/>
      <c r="I28" s="54"/>
      <c r="J28" s="54"/>
      <c r="K28" s="54"/>
      <c r="L28" s="5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32"/>
      <c r="E29" s="3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32"/>
      <c r="E30" s="3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0">
    <mergeCell ref="B2:G2"/>
    <mergeCell ref="H2:L2"/>
    <mergeCell ref="C5:L5"/>
    <mergeCell ref="C6:F6"/>
    <mergeCell ref="G6:L6"/>
    <mergeCell ref="C7:F7"/>
    <mergeCell ref="G7:L7"/>
    <mergeCell ref="C12:F12"/>
    <mergeCell ref="C13:F13"/>
    <mergeCell ref="C22:C24"/>
    <mergeCell ref="G13:L13"/>
    <mergeCell ref="B17:L17"/>
    <mergeCell ref="F19:H19"/>
    <mergeCell ref="G8:L8"/>
    <mergeCell ref="G9:L9"/>
    <mergeCell ref="C10:F10"/>
    <mergeCell ref="G10:L10"/>
    <mergeCell ref="C11:F11"/>
    <mergeCell ref="G11:L11"/>
    <mergeCell ref="G12:J12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12.13"/>
    <col customWidth="1" min="2" max="2" width="16.75"/>
    <col customWidth="1" min="3" max="3" width="34.38"/>
    <col customWidth="1" min="4" max="4" width="42.25"/>
    <col customWidth="1" min="5" max="5" width="11.5"/>
    <col customWidth="1" min="6" max="6" width="31.0"/>
    <col customWidth="1" min="7" max="7" width="11.5"/>
    <col customWidth="1" min="8" max="8" width="8.75"/>
    <col customWidth="1" min="9" max="9" width="12.75"/>
    <col customWidth="1" min="10" max="10" width="8.88"/>
    <col customWidth="1" min="11" max="11" width="32.25"/>
    <col customWidth="1" min="12" max="12" width="55.13"/>
  </cols>
  <sheetData>
    <row r="1" ht="13.5" customHeight="1">
      <c r="A1" s="57"/>
      <c r="B1" s="58"/>
      <c r="C1" s="58"/>
      <c r="D1" s="59"/>
      <c r="E1" s="60"/>
      <c r="F1" s="60"/>
      <c r="G1" s="60"/>
      <c r="H1" s="60"/>
      <c r="I1" s="60"/>
      <c r="J1" s="60"/>
      <c r="K1" s="61"/>
      <c r="L1" s="61"/>
    </row>
    <row r="2" ht="13.5" customHeight="1">
      <c r="A2" s="62"/>
      <c r="B2" s="63" t="s">
        <v>36</v>
      </c>
      <c r="C2" s="63"/>
      <c r="D2" s="64">
        <v>45901.0</v>
      </c>
      <c r="E2" s="60"/>
      <c r="F2" s="60"/>
      <c r="G2" s="60"/>
      <c r="H2" s="60"/>
      <c r="I2" s="60"/>
      <c r="J2" s="60"/>
      <c r="K2" s="65"/>
      <c r="L2" s="65"/>
    </row>
    <row r="3" ht="13.5" customHeight="1">
      <c r="A3" s="62"/>
      <c r="B3" s="63" t="s">
        <v>37</v>
      </c>
      <c r="C3" s="66"/>
      <c r="D3" s="13" t="s">
        <v>4</v>
      </c>
      <c r="E3" s="60"/>
      <c r="F3" s="60"/>
      <c r="G3" s="60"/>
      <c r="H3" s="60"/>
      <c r="I3" s="60"/>
      <c r="J3" s="60"/>
      <c r="K3" s="65"/>
      <c r="L3" s="65"/>
    </row>
    <row r="4" ht="13.5" customHeight="1">
      <c r="A4" s="62"/>
      <c r="B4" s="63" t="s">
        <v>38</v>
      </c>
      <c r="C4" s="63"/>
      <c r="D4" s="66" t="s">
        <v>6</v>
      </c>
      <c r="E4" s="60"/>
      <c r="F4" s="60"/>
      <c r="G4" s="60"/>
      <c r="H4" s="60"/>
      <c r="I4" s="60"/>
      <c r="J4" s="60"/>
      <c r="K4" s="65"/>
      <c r="L4" s="65"/>
    </row>
    <row r="5">
      <c r="A5" s="57"/>
      <c r="B5" s="67" t="s">
        <v>39</v>
      </c>
      <c r="C5" s="67"/>
      <c r="D5" s="68"/>
      <c r="E5" s="60"/>
      <c r="F5" s="60"/>
      <c r="G5" s="60"/>
      <c r="H5" s="60"/>
      <c r="I5" s="60"/>
      <c r="J5" s="60"/>
      <c r="K5" s="61"/>
      <c r="L5" s="61"/>
    </row>
    <row r="6">
      <c r="A6" s="69" t="s">
        <v>40</v>
      </c>
      <c r="B6" s="69" t="s">
        <v>41</v>
      </c>
      <c r="C6" s="69" t="s">
        <v>42</v>
      </c>
      <c r="D6" s="69" t="s">
        <v>43</v>
      </c>
      <c r="E6" s="70" t="s">
        <v>28</v>
      </c>
      <c r="F6" s="70" t="s">
        <v>44</v>
      </c>
      <c r="G6" s="70" t="s">
        <v>45</v>
      </c>
      <c r="H6" s="70" t="s">
        <v>17</v>
      </c>
      <c r="I6" s="70" t="s">
        <v>46</v>
      </c>
      <c r="J6" s="70" t="s">
        <v>47</v>
      </c>
      <c r="K6" s="70" t="s">
        <v>48</v>
      </c>
      <c r="L6" s="69" t="s">
        <v>49</v>
      </c>
    </row>
    <row r="7">
      <c r="A7" s="71">
        <v>45900.0</v>
      </c>
      <c r="B7" s="72">
        <v>1.0</v>
      </c>
      <c r="C7" s="73" t="s">
        <v>50</v>
      </c>
      <c r="D7" s="73" t="s">
        <v>51</v>
      </c>
      <c r="E7" s="74" t="s">
        <v>22</v>
      </c>
      <c r="F7" s="73" t="s">
        <v>52</v>
      </c>
      <c r="G7" s="75">
        <v>2.0</v>
      </c>
      <c r="H7" s="76" t="s">
        <v>23</v>
      </c>
      <c r="I7" s="77">
        <v>3.0</v>
      </c>
      <c r="J7" s="78">
        <f t="shared" ref="J7:J35" si="1">G7*I7</f>
        <v>6</v>
      </c>
      <c r="K7" s="73" t="s">
        <v>53</v>
      </c>
      <c r="L7" s="73" t="s">
        <v>54</v>
      </c>
    </row>
    <row r="8">
      <c r="A8" s="71">
        <v>45900.0</v>
      </c>
      <c r="B8" s="72">
        <v>2.0</v>
      </c>
      <c r="C8" s="73" t="s">
        <v>55</v>
      </c>
      <c r="D8" s="73" t="s">
        <v>56</v>
      </c>
      <c r="E8" s="74" t="s">
        <v>23</v>
      </c>
      <c r="F8" s="73" t="s">
        <v>57</v>
      </c>
      <c r="G8" s="75">
        <v>3.0</v>
      </c>
      <c r="H8" s="74" t="s">
        <v>23</v>
      </c>
      <c r="I8" s="75">
        <v>3.0</v>
      </c>
      <c r="J8" s="78">
        <f t="shared" si="1"/>
        <v>9</v>
      </c>
      <c r="K8" s="73" t="s">
        <v>58</v>
      </c>
      <c r="L8" s="73" t="s">
        <v>59</v>
      </c>
    </row>
    <row r="9">
      <c r="A9" s="71">
        <v>45900.0</v>
      </c>
      <c r="B9" s="72">
        <v>3.0</v>
      </c>
      <c r="C9" s="73" t="s">
        <v>60</v>
      </c>
      <c r="D9" s="73" t="s">
        <v>61</v>
      </c>
      <c r="E9" s="74" t="s">
        <v>22</v>
      </c>
      <c r="F9" s="73" t="s">
        <v>62</v>
      </c>
      <c r="G9" s="75">
        <v>2.0</v>
      </c>
      <c r="H9" s="76" t="s">
        <v>22</v>
      </c>
      <c r="I9" s="77">
        <v>2.0</v>
      </c>
      <c r="J9" s="78">
        <f t="shared" si="1"/>
        <v>4</v>
      </c>
      <c r="K9" s="73" t="s">
        <v>63</v>
      </c>
      <c r="L9" s="73" t="s">
        <v>64</v>
      </c>
    </row>
    <row r="10">
      <c r="A10" s="71">
        <v>45900.0</v>
      </c>
      <c r="B10" s="72">
        <v>4.0</v>
      </c>
      <c r="C10" s="73" t="s">
        <v>65</v>
      </c>
      <c r="D10" s="73" t="s">
        <v>66</v>
      </c>
      <c r="E10" s="74" t="s">
        <v>21</v>
      </c>
      <c r="F10" s="73" t="s">
        <v>67</v>
      </c>
      <c r="G10" s="75">
        <v>1.0</v>
      </c>
      <c r="H10" s="74" t="s">
        <v>22</v>
      </c>
      <c r="I10" s="75">
        <v>2.0</v>
      </c>
      <c r="J10" s="78">
        <f t="shared" si="1"/>
        <v>2</v>
      </c>
      <c r="K10" s="73" t="s">
        <v>68</v>
      </c>
      <c r="L10" s="73" t="s">
        <v>69</v>
      </c>
    </row>
    <row r="11">
      <c r="A11" s="71">
        <v>45900.0</v>
      </c>
      <c r="B11" s="72">
        <v>5.0</v>
      </c>
      <c r="C11" s="73" t="s">
        <v>70</v>
      </c>
      <c r="D11" s="73" t="s">
        <v>71</v>
      </c>
      <c r="E11" s="74" t="s">
        <v>23</v>
      </c>
      <c r="F11" s="73" t="s">
        <v>72</v>
      </c>
      <c r="G11" s="75">
        <v>3.0</v>
      </c>
      <c r="H11" s="74" t="s">
        <v>23</v>
      </c>
      <c r="I11" s="75">
        <v>3.0</v>
      </c>
      <c r="J11" s="78">
        <f t="shared" si="1"/>
        <v>9</v>
      </c>
      <c r="K11" s="73" t="s">
        <v>73</v>
      </c>
      <c r="L11" s="73" t="s">
        <v>74</v>
      </c>
    </row>
    <row r="12">
      <c r="A12" s="71">
        <v>45900.0</v>
      </c>
      <c r="B12" s="72">
        <v>6.0</v>
      </c>
      <c r="C12" s="73" t="s">
        <v>75</v>
      </c>
      <c r="D12" s="73" t="s">
        <v>76</v>
      </c>
      <c r="E12" s="74" t="s">
        <v>23</v>
      </c>
      <c r="F12" s="73" t="s">
        <v>77</v>
      </c>
      <c r="G12" s="75">
        <v>3.0</v>
      </c>
      <c r="H12" s="76" t="s">
        <v>22</v>
      </c>
      <c r="I12" s="77">
        <v>2.0</v>
      </c>
      <c r="J12" s="78">
        <f t="shared" si="1"/>
        <v>6</v>
      </c>
      <c r="K12" s="73" t="s">
        <v>78</v>
      </c>
      <c r="L12" s="73" t="s">
        <v>79</v>
      </c>
    </row>
    <row r="13">
      <c r="A13" s="71">
        <v>45900.0</v>
      </c>
      <c r="B13" s="72">
        <v>7.0</v>
      </c>
      <c r="C13" s="73" t="s">
        <v>80</v>
      </c>
      <c r="D13" s="73" t="s">
        <v>81</v>
      </c>
      <c r="E13" s="74" t="s">
        <v>22</v>
      </c>
      <c r="F13" s="73" t="s">
        <v>82</v>
      </c>
      <c r="G13" s="75">
        <v>2.0</v>
      </c>
      <c r="H13" s="74" t="s">
        <v>22</v>
      </c>
      <c r="I13" s="75">
        <v>2.0</v>
      </c>
      <c r="J13" s="78">
        <f t="shared" si="1"/>
        <v>4</v>
      </c>
      <c r="K13" s="73" t="s">
        <v>83</v>
      </c>
      <c r="L13" s="73" t="s">
        <v>84</v>
      </c>
    </row>
    <row r="14">
      <c r="A14" s="71">
        <v>45900.0</v>
      </c>
      <c r="B14" s="72">
        <v>8.0</v>
      </c>
      <c r="C14" s="73" t="s">
        <v>85</v>
      </c>
      <c r="D14" s="73" t="s">
        <v>86</v>
      </c>
      <c r="E14" s="74" t="s">
        <v>23</v>
      </c>
      <c r="F14" s="73" t="s">
        <v>87</v>
      </c>
      <c r="G14" s="77">
        <v>3.0</v>
      </c>
      <c r="H14" s="76" t="s">
        <v>23</v>
      </c>
      <c r="I14" s="77">
        <v>3.0</v>
      </c>
      <c r="J14" s="78">
        <f t="shared" si="1"/>
        <v>9</v>
      </c>
      <c r="K14" s="73" t="s">
        <v>88</v>
      </c>
      <c r="L14" s="73" t="s">
        <v>89</v>
      </c>
    </row>
    <row r="15">
      <c r="A15" s="71">
        <v>45900.0</v>
      </c>
      <c r="B15" s="72">
        <v>9.0</v>
      </c>
      <c r="C15" s="73" t="s">
        <v>90</v>
      </c>
      <c r="D15" s="73" t="s">
        <v>91</v>
      </c>
      <c r="E15" s="74" t="s">
        <v>22</v>
      </c>
      <c r="F15" s="73" t="s">
        <v>92</v>
      </c>
      <c r="G15" s="77">
        <v>2.0</v>
      </c>
      <c r="H15" s="74" t="s">
        <v>23</v>
      </c>
      <c r="I15" s="77">
        <v>3.0</v>
      </c>
      <c r="J15" s="78">
        <f t="shared" si="1"/>
        <v>6</v>
      </c>
      <c r="K15" s="73" t="s">
        <v>93</v>
      </c>
      <c r="L15" s="73" t="s">
        <v>94</v>
      </c>
    </row>
    <row r="16">
      <c r="A16" s="71">
        <v>45900.0</v>
      </c>
      <c r="B16" s="72">
        <v>10.0</v>
      </c>
      <c r="C16" s="73" t="s">
        <v>95</v>
      </c>
      <c r="D16" s="73" t="s">
        <v>96</v>
      </c>
      <c r="E16" s="74" t="s">
        <v>22</v>
      </c>
      <c r="F16" s="73" t="s">
        <v>97</v>
      </c>
      <c r="G16" s="77">
        <v>2.0</v>
      </c>
      <c r="H16" s="76" t="s">
        <v>22</v>
      </c>
      <c r="I16" s="77">
        <v>2.0</v>
      </c>
      <c r="J16" s="78">
        <f t="shared" si="1"/>
        <v>4</v>
      </c>
      <c r="K16" s="73" t="s">
        <v>98</v>
      </c>
      <c r="L16" s="73" t="s">
        <v>99</v>
      </c>
    </row>
    <row r="17">
      <c r="A17" s="71">
        <v>45900.0</v>
      </c>
      <c r="B17" s="72">
        <v>11.0</v>
      </c>
      <c r="C17" s="73" t="s">
        <v>100</v>
      </c>
      <c r="D17" s="73" t="s">
        <v>101</v>
      </c>
      <c r="E17" s="74" t="s">
        <v>23</v>
      </c>
      <c r="F17" s="73" t="s">
        <v>102</v>
      </c>
      <c r="G17" s="77">
        <v>3.0</v>
      </c>
      <c r="H17" s="74" t="s">
        <v>23</v>
      </c>
      <c r="I17" s="77">
        <v>3.0</v>
      </c>
      <c r="J17" s="78">
        <f t="shared" si="1"/>
        <v>9</v>
      </c>
      <c r="K17" s="73" t="s">
        <v>103</v>
      </c>
      <c r="L17" s="73" t="s">
        <v>104</v>
      </c>
    </row>
    <row r="18">
      <c r="A18" s="71">
        <v>45900.0</v>
      </c>
      <c r="B18" s="72">
        <v>12.0</v>
      </c>
      <c r="C18" s="73" t="s">
        <v>105</v>
      </c>
      <c r="D18" s="73" t="s">
        <v>106</v>
      </c>
      <c r="E18" s="74" t="s">
        <v>22</v>
      </c>
      <c r="F18" s="73" t="s">
        <v>107</v>
      </c>
      <c r="G18" s="77">
        <v>2.0</v>
      </c>
      <c r="H18" s="74" t="s">
        <v>22</v>
      </c>
      <c r="I18" s="77">
        <v>2.0</v>
      </c>
      <c r="J18" s="78">
        <f t="shared" si="1"/>
        <v>4</v>
      </c>
      <c r="K18" s="73" t="s">
        <v>108</v>
      </c>
      <c r="L18" s="73" t="s">
        <v>109</v>
      </c>
    </row>
    <row r="19">
      <c r="A19" s="71">
        <v>45900.0</v>
      </c>
      <c r="B19" s="72">
        <v>13.0</v>
      </c>
      <c r="C19" s="73" t="s">
        <v>110</v>
      </c>
      <c r="D19" s="73" t="s">
        <v>111</v>
      </c>
      <c r="E19" s="74" t="s">
        <v>21</v>
      </c>
      <c r="F19" s="73" t="s">
        <v>112</v>
      </c>
      <c r="G19" s="77">
        <v>1.0</v>
      </c>
      <c r="H19" s="76" t="s">
        <v>22</v>
      </c>
      <c r="I19" s="77">
        <v>2.0</v>
      </c>
      <c r="J19" s="78">
        <f t="shared" si="1"/>
        <v>2</v>
      </c>
      <c r="K19" s="73" t="s">
        <v>113</v>
      </c>
      <c r="L19" s="73" t="s">
        <v>114</v>
      </c>
    </row>
    <row r="20">
      <c r="A20" s="71">
        <v>45900.0</v>
      </c>
      <c r="B20" s="72">
        <v>14.0</v>
      </c>
      <c r="C20" s="73" t="s">
        <v>115</v>
      </c>
      <c r="D20" s="73" t="s">
        <v>116</v>
      </c>
      <c r="E20" s="74" t="s">
        <v>22</v>
      </c>
      <c r="F20" s="73" t="s">
        <v>117</v>
      </c>
      <c r="G20" s="77">
        <v>2.0</v>
      </c>
      <c r="H20" s="76" t="s">
        <v>22</v>
      </c>
      <c r="I20" s="77">
        <v>2.0</v>
      </c>
      <c r="J20" s="78">
        <f t="shared" si="1"/>
        <v>4</v>
      </c>
      <c r="K20" s="73" t="s">
        <v>118</v>
      </c>
      <c r="L20" s="73" t="s">
        <v>119</v>
      </c>
    </row>
    <row r="21">
      <c r="A21" s="71">
        <v>45900.0</v>
      </c>
      <c r="B21" s="72">
        <v>15.0</v>
      </c>
      <c r="C21" s="73" t="s">
        <v>120</v>
      </c>
      <c r="D21" s="73" t="s">
        <v>121</v>
      </c>
      <c r="E21" s="74" t="s">
        <v>21</v>
      </c>
      <c r="F21" s="73" t="s">
        <v>122</v>
      </c>
      <c r="G21" s="77">
        <v>1.0</v>
      </c>
      <c r="H21" s="76" t="s">
        <v>22</v>
      </c>
      <c r="I21" s="77">
        <v>2.0</v>
      </c>
      <c r="J21" s="78">
        <f t="shared" si="1"/>
        <v>2</v>
      </c>
      <c r="K21" s="73" t="s">
        <v>123</v>
      </c>
      <c r="L21" s="73" t="s">
        <v>124</v>
      </c>
    </row>
    <row r="22">
      <c r="A22" s="71">
        <v>45900.0</v>
      </c>
      <c r="B22" s="72">
        <v>16.0</v>
      </c>
      <c r="C22" s="73" t="s">
        <v>125</v>
      </c>
      <c r="D22" s="73" t="s">
        <v>126</v>
      </c>
      <c r="E22" s="74" t="s">
        <v>23</v>
      </c>
      <c r="F22" s="73" t="s">
        <v>127</v>
      </c>
      <c r="G22" s="77">
        <v>3.0</v>
      </c>
      <c r="H22" s="74" t="s">
        <v>21</v>
      </c>
      <c r="I22" s="77">
        <v>1.0</v>
      </c>
      <c r="J22" s="78">
        <f t="shared" si="1"/>
        <v>3</v>
      </c>
      <c r="K22" s="73" t="s">
        <v>128</v>
      </c>
      <c r="L22" s="73" t="s">
        <v>129</v>
      </c>
    </row>
    <row r="23">
      <c r="A23" s="71">
        <v>45900.0</v>
      </c>
      <c r="B23" s="72">
        <v>17.0</v>
      </c>
      <c r="C23" s="73" t="s">
        <v>130</v>
      </c>
      <c r="D23" s="73" t="s">
        <v>131</v>
      </c>
      <c r="E23" s="76" t="s">
        <v>22</v>
      </c>
      <c r="F23" s="73" t="s">
        <v>132</v>
      </c>
      <c r="G23" s="77">
        <v>2.0</v>
      </c>
      <c r="H23" s="74" t="s">
        <v>23</v>
      </c>
      <c r="I23" s="77">
        <v>3.0</v>
      </c>
      <c r="J23" s="78">
        <f t="shared" si="1"/>
        <v>6</v>
      </c>
      <c r="K23" s="73" t="s">
        <v>133</v>
      </c>
      <c r="L23" s="73" t="s">
        <v>134</v>
      </c>
    </row>
    <row r="24">
      <c r="A24" s="71">
        <v>45900.0</v>
      </c>
      <c r="B24" s="79">
        <v>18.0</v>
      </c>
      <c r="C24" s="73" t="s">
        <v>135</v>
      </c>
      <c r="D24" s="73" t="s">
        <v>136</v>
      </c>
      <c r="E24" s="74" t="s">
        <v>22</v>
      </c>
      <c r="F24" s="73" t="s">
        <v>137</v>
      </c>
      <c r="G24" s="77">
        <v>2.0</v>
      </c>
      <c r="H24" s="74" t="s">
        <v>22</v>
      </c>
      <c r="I24" s="77">
        <v>2.0</v>
      </c>
      <c r="J24" s="78">
        <f t="shared" si="1"/>
        <v>4</v>
      </c>
      <c r="K24" s="73" t="s">
        <v>138</v>
      </c>
      <c r="L24" s="73" t="s">
        <v>139</v>
      </c>
    </row>
    <row r="25">
      <c r="A25" s="71">
        <v>45900.0</v>
      </c>
      <c r="B25" s="79">
        <v>19.0</v>
      </c>
      <c r="C25" s="73" t="s">
        <v>140</v>
      </c>
      <c r="D25" s="73" t="s">
        <v>141</v>
      </c>
      <c r="E25" s="74" t="s">
        <v>23</v>
      </c>
      <c r="F25" s="73" t="s">
        <v>142</v>
      </c>
      <c r="G25" s="77">
        <v>3.0</v>
      </c>
      <c r="H25" s="76" t="s">
        <v>23</v>
      </c>
      <c r="I25" s="77">
        <v>3.0</v>
      </c>
      <c r="J25" s="78">
        <f t="shared" si="1"/>
        <v>9</v>
      </c>
      <c r="K25" s="73" t="s">
        <v>143</v>
      </c>
      <c r="L25" s="73" t="s">
        <v>144</v>
      </c>
    </row>
    <row r="26">
      <c r="A26" s="71">
        <v>45900.0</v>
      </c>
      <c r="B26" s="79">
        <v>20.0</v>
      </c>
      <c r="C26" s="73" t="s">
        <v>145</v>
      </c>
      <c r="D26" s="73" t="s">
        <v>146</v>
      </c>
      <c r="E26" s="74" t="s">
        <v>23</v>
      </c>
      <c r="F26" s="73" t="s">
        <v>147</v>
      </c>
      <c r="G26" s="77">
        <v>3.0</v>
      </c>
      <c r="H26" s="76" t="s">
        <v>22</v>
      </c>
      <c r="I26" s="77">
        <v>2.0</v>
      </c>
      <c r="J26" s="78">
        <f t="shared" si="1"/>
        <v>6</v>
      </c>
      <c r="K26" s="73" t="s">
        <v>148</v>
      </c>
      <c r="L26" s="73" t="s">
        <v>149</v>
      </c>
    </row>
    <row r="27">
      <c r="A27" s="71">
        <v>45900.0</v>
      </c>
      <c r="B27" s="79">
        <v>21.0</v>
      </c>
      <c r="C27" s="73" t="s">
        <v>150</v>
      </c>
      <c r="D27" s="73" t="s">
        <v>151</v>
      </c>
      <c r="E27" s="76" t="s">
        <v>22</v>
      </c>
      <c r="F27" s="73" t="s">
        <v>152</v>
      </c>
      <c r="G27" s="77">
        <v>2.0</v>
      </c>
      <c r="H27" s="76" t="s">
        <v>22</v>
      </c>
      <c r="I27" s="77">
        <v>2.0</v>
      </c>
      <c r="J27" s="78">
        <f t="shared" si="1"/>
        <v>4</v>
      </c>
      <c r="K27" s="73" t="s">
        <v>153</v>
      </c>
      <c r="L27" s="73" t="s">
        <v>154</v>
      </c>
    </row>
    <row r="28">
      <c r="A28" s="71">
        <v>45900.0</v>
      </c>
      <c r="B28" s="79">
        <v>22.0</v>
      </c>
      <c r="C28" s="73" t="s">
        <v>155</v>
      </c>
      <c r="D28" s="73" t="s">
        <v>156</v>
      </c>
      <c r="E28" s="74" t="s">
        <v>23</v>
      </c>
      <c r="F28" s="73" t="s">
        <v>157</v>
      </c>
      <c r="G28" s="77">
        <v>3.0</v>
      </c>
      <c r="H28" s="74" t="s">
        <v>21</v>
      </c>
      <c r="I28" s="77">
        <v>1.0</v>
      </c>
      <c r="J28" s="78">
        <f t="shared" si="1"/>
        <v>3</v>
      </c>
      <c r="K28" s="73" t="s">
        <v>158</v>
      </c>
      <c r="L28" s="73" t="s">
        <v>159</v>
      </c>
    </row>
    <row r="29">
      <c r="A29" s="71">
        <v>45900.0</v>
      </c>
      <c r="B29" s="79">
        <v>23.0</v>
      </c>
      <c r="C29" s="73" t="s">
        <v>160</v>
      </c>
      <c r="D29" s="73" t="s">
        <v>161</v>
      </c>
      <c r="E29" s="74" t="s">
        <v>21</v>
      </c>
      <c r="F29" s="73" t="s">
        <v>162</v>
      </c>
      <c r="G29" s="77">
        <v>1.0</v>
      </c>
      <c r="H29" s="76" t="s">
        <v>22</v>
      </c>
      <c r="I29" s="77">
        <v>2.0</v>
      </c>
      <c r="J29" s="78">
        <f t="shared" si="1"/>
        <v>2</v>
      </c>
      <c r="K29" s="73" t="s">
        <v>163</v>
      </c>
      <c r="L29" s="73" t="s">
        <v>164</v>
      </c>
    </row>
    <row r="30">
      <c r="A30" s="71">
        <v>45900.0</v>
      </c>
      <c r="B30" s="79">
        <v>24.0</v>
      </c>
      <c r="C30" s="73" t="s">
        <v>165</v>
      </c>
      <c r="D30" s="73" t="s">
        <v>166</v>
      </c>
      <c r="E30" s="74" t="s">
        <v>22</v>
      </c>
      <c r="F30" s="73" t="s">
        <v>167</v>
      </c>
      <c r="G30" s="77">
        <v>2.0</v>
      </c>
      <c r="H30" s="76" t="s">
        <v>22</v>
      </c>
      <c r="I30" s="77">
        <v>2.0</v>
      </c>
      <c r="J30" s="78">
        <f t="shared" si="1"/>
        <v>4</v>
      </c>
      <c r="K30" s="73" t="s">
        <v>168</v>
      </c>
      <c r="L30" s="73" t="s">
        <v>169</v>
      </c>
    </row>
    <row r="31">
      <c r="A31" s="71">
        <v>45900.0</v>
      </c>
      <c r="B31" s="79">
        <v>25.0</v>
      </c>
      <c r="C31" s="73" t="s">
        <v>170</v>
      </c>
      <c r="D31" s="73" t="s">
        <v>171</v>
      </c>
      <c r="E31" s="74" t="s">
        <v>21</v>
      </c>
      <c r="F31" s="73" t="s">
        <v>172</v>
      </c>
      <c r="G31" s="77">
        <v>1.0</v>
      </c>
      <c r="H31" s="74" t="s">
        <v>23</v>
      </c>
      <c r="I31" s="77">
        <v>3.0</v>
      </c>
      <c r="J31" s="78">
        <f t="shared" si="1"/>
        <v>3</v>
      </c>
      <c r="K31" s="73" t="s">
        <v>173</v>
      </c>
      <c r="L31" s="73" t="s">
        <v>174</v>
      </c>
    </row>
    <row r="32">
      <c r="A32" s="71">
        <v>45900.0</v>
      </c>
      <c r="B32" s="79">
        <v>26.0</v>
      </c>
      <c r="C32" s="73" t="s">
        <v>175</v>
      </c>
      <c r="D32" s="73" t="s">
        <v>176</v>
      </c>
      <c r="E32" s="74" t="s">
        <v>22</v>
      </c>
      <c r="F32" s="73" t="s">
        <v>177</v>
      </c>
      <c r="G32" s="77">
        <v>2.0</v>
      </c>
      <c r="H32" s="76" t="s">
        <v>23</v>
      </c>
      <c r="I32" s="77">
        <v>3.0</v>
      </c>
      <c r="J32" s="78">
        <f t="shared" si="1"/>
        <v>6</v>
      </c>
      <c r="K32" s="73" t="s">
        <v>178</v>
      </c>
      <c r="L32" s="73" t="s">
        <v>179</v>
      </c>
    </row>
    <row r="33">
      <c r="A33" s="71">
        <v>45900.0</v>
      </c>
      <c r="B33" s="79">
        <v>27.0</v>
      </c>
      <c r="C33" s="73" t="s">
        <v>180</v>
      </c>
      <c r="D33" s="73" t="s">
        <v>181</v>
      </c>
      <c r="E33" s="76" t="s">
        <v>23</v>
      </c>
      <c r="F33" s="73" t="s">
        <v>182</v>
      </c>
      <c r="G33" s="77">
        <v>2.0</v>
      </c>
      <c r="H33" s="74" t="s">
        <v>21</v>
      </c>
      <c r="I33" s="77">
        <v>3.0</v>
      </c>
      <c r="J33" s="78">
        <f t="shared" si="1"/>
        <v>6</v>
      </c>
      <c r="K33" s="73" t="s">
        <v>183</v>
      </c>
      <c r="L33" s="73" t="s">
        <v>184</v>
      </c>
    </row>
    <row r="34">
      <c r="A34" s="71">
        <v>45901.0</v>
      </c>
      <c r="B34" s="79">
        <v>28.0</v>
      </c>
      <c r="C34" s="73" t="s">
        <v>185</v>
      </c>
      <c r="D34" s="73" t="s">
        <v>186</v>
      </c>
      <c r="E34" s="74" t="s">
        <v>21</v>
      </c>
      <c r="F34" s="73" t="s">
        <v>187</v>
      </c>
      <c r="G34" s="77">
        <v>3.0</v>
      </c>
      <c r="H34" s="76" t="s">
        <v>23</v>
      </c>
      <c r="I34" s="77">
        <v>1.0</v>
      </c>
      <c r="J34" s="78">
        <f t="shared" si="1"/>
        <v>3</v>
      </c>
      <c r="K34" s="73" t="s">
        <v>188</v>
      </c>
      <c r="L34" s="73" t="s">
        <v>189</v>
      </c>
    </row>
    <row r="35">
      <c r="A35" s="71">
        <v>45901.0</v>
      </c>
      <c r="B35" s="79">
        <v>29.0</v>
      </c>
      <c r="C35" s="73" t="s">
        <v>190</v>
      </c>
      <c r="D35" s="73" t="s">
        <v>191</v>
      </c>
      <c r="E35" s="76" t="s">
        <v>22</v>
      </c>
      <c r="F35" s="73" t="s">
        <v>192</v>
      </c>
      <c r="G35" s="77">
        <v>1.0</v>
      </c>
      <c r="H35" s="74" t="s">
        <v>23</v>
      </c>
      <c r="I35" s="77">
        <v>3.0</v>
      </c>
      <c r="J35" s="78">
        <f t="shared" si="1"/>
        <v>3</v>
      </c>
      <c r="K35" s="73" t="s">
        <v>193</v>
      </c>
      <c r="L35" s="73" t="s">
        <v>194</v>
      </c>
    </row>
    <row r="36">
      <c r="A36" s="80"/>
      <c r="B36" s="72"/>
      <c r="C36" s="72"/>
      <c r="D36" s="72"/>
      <c r="E36" s="76"/>
      <c r="F36" s="81"/>
      <c r="G36" s="82"/>
      <c r="H36" s="76"/>
      <c r="I36" s="82"/>
      <c r="J36" s="78"/>
      <c r="K36" s="76"/>
      <c r="L36" s="76"/>
    </row>
    <row r="37">
      <c r="A37" s="80"/>
      <c r="B37" s="72"/>
      <c r="C37" s="72"/>
      <c r="D37" s="72"/>
      <c r="E37" s="76"/>
      <c r="F37" s="81"/>
      <c r="G37" s="82"/>
      <c r="H37" s="76"/>
      <c r="I37" s="82"/>
      <c r="J37" s="78"/>
      <c r="K37" s="76"/>
      <c r="L37" s="76"/>
    </row>
    <row r="38">
      <c r="A38" s="80"/>
      <c r="B38" s="72"/>
      <c r="C38" s="72"/>
      <c r="D38" s="72"/>
      <c r="E38" s="76"/>
      <c r="F38" s="81"/>
      <c r="G38" s="82"/>
      <c r="H38" s="76"/>
      <c r="I38" s="82"/>
      <c r="J38" s="78"/>
      <c r="K38" s="76"/>
      <c r="L38" s="76"/>
    </row>
    <row r="39">
      <c r="A39" s="80"/>
      <c r="B39" s="72"/>
      <c r="C39" s="83"/>
      <c r="D39" s="72"/>
      <c r="E39" s="76"/>
      <c r="F39" s="81"/>
      <c r="G39" s="82"/>
      <c r="H39" s="76"/>
      <c r="I39" s="82"/>
      <c r="J39" s="78"/>
      <c r="K39" s="76"/>
      <c r="L39" s="76"/>
    </row>
    <row r="40">
      <c r="A40" s="80"/>
      <c r="B40" s="72"/>
      <c r="C40" s="72"/>
      <c r="D40" s="72"/>
      <c r="E40" s="76"/>
      <c r="F40" s="81"/>
      <c r="G40" s="82"/>
      <c r="H40" s="76"/>
      <c r="I40" s="82"/>
      <c r="J40" s="78"/>
      <c r="K40" s="76"/>
      <c r="L40" s="76"/>
    </row>
    <row r="41">
      <c r="A41" s="80"/>
      <c r="B41" s="72"/>
      <c r="C41" s="72"/>
      <c r="D41" s="72"/>
      <c r="E41" s="76"/>
      <c r="F41" s="81"/>
      <c r="G41" s="82"/>
      <c r="H41" s="76"/>
      <c r="I41" s="82"/>
      <c r="J41" s="78"/>
      <c r="K41" s="76"/>
      <c r="L41" s="76"/>
    </row>
    <row r="42">
      <c r="A42" s="80"/>
      <c r="B42" s="72"/>
      <c r="C42" s="72"/>
      <c r="D42" s="72"/>
      <c r="E42" s="76"/>
      <c r="F42" s="81"/>
      <c r="G42" s="82"/>
      <c r="H42" s="76"/>
      <c r="I42" s="82"/>
      <c r="J42" s="78"/>
      <c r="K42" s="76"/>
      <c r="L42" s="76"/>
    </row>
    <row r="43">
      <c r="A43" s="80"/>
      <c r="B43" s="72"/>
      <c r="C43" s="72"/>
      <c r="D43" s="72"/>
      <c r="E43" s="76"/>
      <c r="F43" s="81"/>
      <c r="G43" s="82"/>
      <c r="H43" s="76"/>
      <c r="I43" s="82"/>
      <c r="J43" s="78"/>
      <c r="K43" s="76"/>
      <c r="L43" s="76"/>
    </row>
    <row r="44">
      <c r="A44" s="80"/>
      <c r="B44" s="72"/>
      <c r="C44" s="72"/>
      <c r="D44" s="72"/>
      <c r="E44" s="76"/>
      <c r="F44" s="81"/>
      <c r="G44" s="82"/>
      <c r="H44" s="76"/>
      <c r="I44" s="82"/>
      <c r="J44" s="78"/>
      <c r="K44" s="76"/>
      <c r="L44" s="76"/>
    </row>
    <row r="45">
      <c r="A45" s="80"/>
      <c r="B45" s="72"/>
      <c r="C45" s="72"/>
      <c r="D45" s="72"/>
      <c r="E45" s="76"/>
      <c r="F45" s="81"/>
      <c r="G45" s="82"/>
      <c r="H45" s="76"/>
      <c r="I45" s="82"/>
      <c r="J45" s="78"/>
      <c r="K45" s="76"/>
      <c r="L45" s="76"/>
    </row>
    <row r="46">
      <c r="A46" s="80"/>
      <c r="B46" s="72"/>
      <c r="C46" s="72"/>
      <c r="D46" s="72"/>
      <c r="E46" s="76"/>
      <c r="F46" s="81"/>
      <c r="G46" s="82"/>
      <c r="H46" s="76"/>
      <c r="I46" s="82"/>
      <c r="J46" s="78"/>
      <c r="K46" s="76"/>
      <c r="L46" s="76"/>
    </row>
    <row r="47">
      <c r="A47" s="80"/>
      <c r="B47" s="72"/>
      <c r="C47" s="72"/>
      <c r="D47" s="72"/>
      <c r="E47" s="76"/>
      <c r="F47" s="81"/>
      <c r="G47" s="82"/>
      <c r="H47" s="76"/>
      <c r="I47" s="82"/>
      <c r="J47" s="78"/>
      <c r="K47" s="76"/>
      <c r="L47" s="76"/>
    </row>
    <row r="48">
      <c r="A48" s="80"/>
      <c r="B48" s="72"/>
      <c r="C48" s="72"/>
      <c r="D48" s="72"/>
      <c r="E48" s="76"/>
      <c r="F48" s="81"/>
      <c r="G48" s="82"/>
      <c r="H48" s="76"/>
      <c r="I48" s="82"/>
      <c r="J48" s="78"/>
      <c r="K48" s="76"/>
      <c r="L48" s="76"/>
    </row>
    <row r="49">
      <c r="A49" s="80"/>
      <c r="B49" s="72"/>
      <c r="C49" s="76"/>
      <c r="D49" s="72"/>
      <c r="E49" s="76"/>
      <c r="F49" s="81"/>
      <c r="G49" s="82"/>
      <c r="H49" s="76"/>
      <c r="I49" s="82"/>
      <c r="J49" s="78"/>
      <c r="K49" s="76"/>
      <c r="L49" s="76"/>
    </row>
    <row r="50">
      <c r="A50" s="80"/>
      <c r="B50" s="72"/>
      <c r="C50" s="72"/>
      <c r="D50" s="72"/>
      <c r="E50" s="76"/>
      <c r="F50" s="81"/>
      <c r="G50" s="82"/>
      <c r="H50" s="76"/>
      <c r="I50" s="82"/>
      <c r="J50" s="78"/>
      <c r="K50" s="76"/>
      <c r="L50" s="76"/>
    </row>
    <row r="51">
      <c r="A51" s="80"/>
      <c r="B51" s="72"/>
      <c r="C51" s="72"/>
      <c r="D51" s="72"/>
      <c r="E51" s="76"/>
      <c r="F51" s="81"/>
      <c r="G51" s="82"/>
      <c r="H51" s="76"/>
      <c r="I51" s="82"/>
      <c r="J51" s="78"/>
      <c r="K51" s="76"/>
      <c r="L51" s="76"/>
    </row>
    <row r="52">
      <c r="A52" s="80"/>
      <c r="B52" s="72"/>
      <c r="C52" s="72"/>
      <c r="D52" s="72"/>
      <c r="E52" s="76"/>
      <c r="F52" s="81"/>
      <c r="G52" s="82"/>
      <c r="H52" s="76"/>
      <c r="I52" s="82"/>
      <c r="J52" s="78"/>
      <c r="K52" s="76"/>
      <c r="L52" s="76"/>
    </row>
    <row r="53">
      <c r="A53" s="80"/>
      <c r="B53" s="72"/>
      <c r="C53" s="72"/>
      <c r="D53" s="72"/>
      <c r="E53" s="76"/>
      <c r="F53" s="81"/>
      <c r="G53" s="82"/>
      <c r="H53" s="76"/>
      <c r="I53" s="82"/>
      <c r="J53" s="78"/>
      <c r="K53" s="76"/>
      <c r="L53" s="76"/>
    </row>
    <row r="54">
      <c r="A54" s="80"/>
      <c r="B54" s="72"/>
      <c r="C54" s="72"/>
      <c r="D54" s="72"/>
      <c r="E54" s="76"/>
      <c r="F54" s="81"/>
      <c r="G54" s="82"/>
      <c r="H54" s="76"/>
      <c r="I54" s="82"/>
      <c r="J54" s="78"/>
      <c r="K54" s="76"/>
      <c r="L54" s="76"/>
    </row>
    <row r="55">
      <c r="A55" s="80"/>
      <c r="B55" s="72"/>
      <c r="C55" s="72"/>
      <c r="D55" s="72"/>
      <c r="E55" s="76"/>
      <c r="F55" s="81"/>
      <c r="G55" s="82"/>
      <c r="H55" s="76"/>
      <c r="I55" s="82"/>
      <c r="J55" s="78"/>
      <c r="K55" s="76"/>
      <c r="L55" s="76"/>
    </row>
    <row r="56">
      <c r="A56" s="80"/>
      <c r="B56" s="72"/>
      <c r="C56" s="72"/>
      <c r="D56" s="72"/>
      <c r="E56" s="76"/>
      <c r="F56" s="81"/>
      <c r="G56" s="82"/>
      <c r="H56" s="76"/>
      <c r="I56" s="82"/>
      <c r="J56" s="78"/>
      <c r="K56" s="76"/>
      <c r="L56" s="76"/>
    </row>
    <row r="57">
      <c r="A57" s="80"/>
      <c r="B57" s="72"/>
      <c r="C57" s="72"/>
      <c r="D57" s="72"/>
      <c r="E57" s="76"/>
      <c r="F57" s="81"/>
      <c r="G57" s="82"/>
      <c r="H57" s="76"/>
      <c r="I57" s="82"/>
      <c r="J57" s="78"/>
      <c r="K57" s="76"/>
      <c r="L57" s="76"/>
    </row>
    <row r="58">
      <c r="A58" s="80"/>
      <c r="B58" s="72"/>
      <c r="C58" s="72"/>
      <c r="D58" s="72"/>
      <c r="E58" s="76"/>
      <c r="F58" s="81"/>
      <c r="G58" s="82"/>
      <c r="H58" s="76"/>
      <c r="I58" s="82"/>
      <c r="J58" s="78"/>
      <c r="K58" s="76"/>
      <c r="L58" s="76"/>
    </row>
    <row r="59">
      <c r="A59" s="80"/>
      <c r="B59" s="72"/>
      <c r="C59" s="72"/>
      <c r="D59" s="72"/>
      <c r="E59" s="76"/>
      <c r="F59" s="72"/>
      <c r="G59" s="82"/>
      <c r="H59" s="76"/>
      <c r="I59" s="82"/>
      <c r="J59" s="78"/>
      <c r="K59" s="76"/>
      <c r="L59" s="76"/>
    </row>
    <row r="60">
      <c r="A60" s="80"/>
      <c r="B60" s="72"/>
      <c r="C60" s="76"/>
      <c r="D60" s="72"/>
      <c r="E60" s="76"/>
      <c r="F60" s="72"/>
      <c r="G60" s="82"/>
      <c r="H60" s="76"/>
      <c r="I60" s="82"/>
      <c r="J60" s="78"/>
      <c r="K60" s="76"/>
      <c r="L60" s="76"/>
    </row>
    <row r="61">
      <c r="A61" s="80"/>
      <c r="B61" s="72"/>
      <c r="C61" s="72"/>
      <c r="D61" s="72"/>
      <c r="E61" s="76"/>
      <c r="F61" s="72"/>
      <c r="G61" s="82"/>
      <c r="H61" s="76"/>
      <c r="I61" s="82"/>
      <c r="J61" s="78"/>
      <c r="K61" s="76"/>
      <c r="L61" s="76"/>
    </row>
    <row r="62">
      <c r="A62" s="80"/>
      <c r="B62" s="72"/>
      <c r="C62" s="72"/>
      <c r="D62" s="72"/>
      <c r="E62" s="76"/>
      <c r="F62" s="72"/>
      <c r="G62" s="82"/>
      <c r="H62" s="76"/>
      <c r="I62" s="82"/>
      <c r="J62" s="78"/>
      <c r="K62" s="76"/>
      <c r="L62" s="76"/>
    </row>
    <row r="63">
      <c r="A63" s="80"/>
      <c r="B63" s="72"/>
      <c r="C63" s="72"/>
      <c r="D63" s="72"/>
      <c r="E63" s="76"/>
      <c r="F63" s="72"/>
      <c r="G63" s="82"/>
      <c r="H63" s="76"/>
      <c r="I63" s="82"/>
      <c r="J63" s="78"/>
      <c r="K63" s="76"/>
      <c r="L63" s="76"/>
    </row>
    <row r="64">
      <c r="A64" s="80"/>
      <c r="B64" s="72"/>
      <c r="C64" s="72"/>
      <c r="D64" s="72"/>
      <c r="E64" s="76"/>
      <c r="F64" s="72"/>
      <c r="G64" s="82"/>
      <c r="H64" s="76"/>
      <c r="I64" s="82"/>
      <c r="J64" s="78"/>
      <c r="K64" s="76"/>
      <c r="L64" s="76"/>
    </row>
    <row r="65">
      <c r="A65" s="80"/>
      <c r="B65" s="72"/>
      <c r="C65" s="72"/>
      <c r="D65" s="72"/>
      <c r="E65" s="76"/>
      <c r="F65" s="72"/>
      <c r="G65" s="82"/>
      <c r="H65" s="76"/>
      <c r="I65" s="82"/>
      <c r="J65" s="78"/>
      <c r="K65" s="76"/>
      <c r="L65" s="76"/>
    </row>
    <row r="66">
      <c r="A66" s="80"/>
      <c r="B66" s="72"/>
      <c r="C66" s="72"/>
      <c r="D66" s="72"/>
      <c r="E66" s="76"/>
      <c r="F66" s="84"/>
      <c r="G66" s="82"/>
      <c r="H66" s="76"/>
      <c r="I66" s="82"/>
      <c r="J66" s="78"/>
      <c r="K66" s="76"/>
      <c r="L66" s="76"/>
    </row>
    <row r="67">
      <c r="A67" s="72"/>
      <c r="B67" s="72"/>
      <c r="C67" s="72"/>
      <c r="D67" s="72"/>
      <c r="E67" s="76"/>
      <c r="F67" s="72"/>
      <c r="G67" s="82"/>
      <c r="H67" s="76"/>
      <c r="I67" s="82"/>
      <c r="J67" s="78"/>
      <c r="K67" s="76"/>
      <c r="L67" s="76"/>
    </row>
    <row r="68" ht="13.5" customHeight="1">
      <c r="A68" s="72"/>
      <c r="B68" s="72"/>
      <c r="C68" s="72"/>
      <c r="D68" s="72"/>
      <c r="E68" s="76"/>
      <c r="F68" s="72"/>
      <c r="G68" s="82"/>
      <c r="H68" s="76"/>
      <c r="I68" s="82"/>
      <c r="J68" s="78"/>
      <c r="K68" s="76"/>
      <c r="L68" s="76"/>
    </row>
    <row r="69" ht="13.5" customHeight="1">
      <c r="A69" s="72"/>
      <c r="B69" s="72"/>
      <c r="C69" s="72"/>
      <c r="D69" s="72"/>
      <c r="E69" s="76"/>
      <c r="F69" s="72"/>
      <c r="G69" s="82"/>
      <c r="H69" s="76"/>
      <c r="I69" s="82"/>
      <c r="J69" s="78"/>
      <c r="K69" s="76"/>
      <c r="L69" s="76"/>
    </row>
    <row r="70" ht="13.5" customHeight="1">
      <c r="A70" s="72"/>
      <c r="B70" s="72"/>
      <c r="C70" s="72"/>
      <c r="D70" s="72"/>
      <c r="E70" s="76"/>
      <c r="F70" s="72"/>
      <c r="G70" s="82"/>
      <c r="H70" s="76"/>
      <c r="I70" s="82"/>
      <c r="J70" s="78"/>
      <c r="K70" s="76"/>
      <c r="L70" s="76"/>
    </row>
    <row r="71" ht="13.5" customHeight="1">
      <c r="A71" s="72"/>
      <c r="B71" s="72"/>
      <c r="C71" s="72"/>
      <c r="D71" s="72"/>
      <c r="E71" s="76"/>
      <c r="F71" s="72"/>
      <c r="G71" s="82"/>
      <c r="H71" s="76"/>
      <c r="I71" s="82"/>
      <c r="J71" s="78"/>
      <c r="K71" s="76"/>
      <c r="L71" s="76"/>
    </row>
    <row r="72" ht="13.5" customHeight="1">
      <c r="A72" s="72"/>
      <c r="B72" s="72"/>
      <c r="C72" s="72"/>
      <c r="D72" s="72"/>
      <c r="E72" s="76"/>
      <c r="F72" s="72"/>
      <c r="G72" s="82"/>
      <c r="H72" s="76"/>
      <c r="I72" s="82"/>
      <c r="J72" s="78"/>
      <c r="K72" s="76"/>
      <c r="L72" s="76"/>
    </row>
    <row r="73" ht="13.5" customHeight="1">
      <c r="A73" s="72"/>
      <c r="B73" s="72"/>
      <c r="C73" s="72"/>
      <c r="D73" s="72"/>
      <c r="E73" s="76"/>
      <c r="F73" s="72"/>
      <c r="G73" s="82"/>
      <c r="H73" s="76"/>
      <c r="I73" s="82"/>
      <c r="J73" s="78"/>
      <c r="K73" s="76"/>
      <c r="L73" s="76"/>
    </row>
    <row r="74" ht="13.5" customHeight="1">
      <c r="A74" s="72"/>
      <c r="B74" s="72"/>
      <c r="C74" s="72"/>
      <c r="D74" s="72"/>
      <c r="E74" s="76"/>
      <c r="F74" s="72"/>
      <c r="G74" s="82"/>
      <c r="H74" s="76"/>
      <c r="I74" s="82"/>
      <c r="J74" s="78"/>
      <c r="K74" s="76"/>
      <c r="L74" s="76"/>
    </row>
    <row r="75" ht="13.5" customHeight="1">
      <c r="A75" s="72"/>
      <c r="B75" s="72"/>
      <c r="C75" s="72"/>
      <c r="D75" s="72"/>
      <c r="E75" s="72"/>
      <c r="F75" s="72"/>
      <c r="G75" s="82" t="str">
        <f t="shared" ref="G75:G76" si="2">IF(E75="Bajo", 1, IF(E75="Medio", 2, IF(E75="Alto", 3, "A")))</f>
        <v>A</v>
      </c>
      <c r="H75" s="76" t="s">
        <v>23</v>
      </c>
      <c r="I75" s="82">
        <f t="shared" ref="I75:I76" si="3">IF(H75="Bajo", 1, IF(H75="Medio", 2, IF(H75="Alto", 3, "A")))</f>
        <v>3</v>
      </c>
      <c r="J75" s="78" t="str">
        <f t="shared" ref="J75:J76" si="4">G75*I75</f>
        <v>#VALUE!</v>
      </c>
      <c r="K75" s="76"/>
      <c r="L75" s="76"/>
    </row>
    <row r="76" ht="13.5" customHeight="1">
      <c r="A76" s="72"/>
      <c r="B76" s="72"/>
      <c r="C76" s="72"/>
      <c r="D76" s="72"/>
      <c r="E76" s="72"/>
      <c r="F76" s="72"/>
      <c r="G76" s="82" t="str">
        <f t="shared" si="2"/>
        <v>A</v>
      </c>
      <c r="H76" s="76" t="s">
        <v>23</v>
      </c>
      <c r="I76" s="82">
        <f t="shared" si="3"/>
        <v>3</v>
      </c>
      <c r="J76" s="78" t="str">
        <f t="shared" si="4"/>
        <v>#VALUE!</v>
      </c>
      <c r="K76" s="76"/>
      <c r="L76" s="76"/>
    </row>
    <row r="77" ht="13.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6"/>
      <c r="L77" s="76"/>
    </row>
    <row r="78" ht="13.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6"/>
      <c r="L78" s="76"/>
    </row>
    <row r="79" ht="13.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6"/>
      <c r="L79" s="76"/>
    </row>
    <row r="80" ht="13.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6"/>
      <c r="L80" s="76"/>
    </row>
    <row r="81" ht="13.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6"/>
      <c r="L81" s="76"/>
    </row>
    <row r="82" ht="13.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6"/>
      <c r="L82" s="76"/>
    </row>
    <row r="83" ht="13.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6"/>
      <c r="L83" s="76"/>
    </row>
    <row r="84" ht="13.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6"/>
      <c r="L84" s="76"/>
    </row>
    <row r="85" ht="13.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6"/>
      <c r="L85" s="76"/>
    </row>
    <row r="86" ht="13.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6"/>
      <c r="L86" s="76"/>
    </row>
    <row r="87" ht="13.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6"/>
      <c r="L87" s="76"/>
    </row>
    <row r="88" ht="13.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6"/>
      <c r="L88" s="76"/>
    </row>
    <row r="89" ht="13.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6"/>
      <c r="L89" s="76"/>
    </row>
    <row r="90" ht="13.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6"/>
      <c r="L90" s="76"/>
    </row>
    <row r="91" ht="13.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6"/>
      <c r="L91" s="76"/>
    </row>
    <row r="92" ht="13.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6"/>
      <c r="L92" s="76"/>
    </row>
    <row r="93" ht="13.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6"/>
      <c r="L93" s="76"/>
    </row>
    <row r="94" ht="13.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6"/>
      <c r="L94" s="76"/>
    </row>
    <row r="95" ht="13.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6"/>
      <c r="L95" s="76"/>
    </row>
    <row r="96" ht="13.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6"/>
      <c r="L96" s="76"/>
    </row>
    <row r="97" ht="13.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6"/>
      <c r="L97" s="76"/>
    </row>
    <row r="98" ht="13.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6"/>
      <c r="L98" s="76"/>
    </row>
    <row r="99" ht="13.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6"/>
      <c r="L99" s="76"/>
    </row>
    <row r="100" ht="13.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6"/>
      <c r="L100" s="76"/>
    </row>
    <row r="101" ht="13.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6"/>
      <c r="L101" s="76"/>
    </row>
    <row r="102" ht="13.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6"/>
      <c r="L102" s="76"/>
    </row>
    <row r="103" ht="13.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6"/>
      <c r="L103" s="76"/>
    </row>
    <row r="104" ht="13.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6"/>
      <c r="L104" s="76"/>
    </row>
    <row r="105" ht="13.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6"/>
      <c r="L105" s="76"/>
    </row>
    <row r="106" ht="13.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6"/>
      <c r="L106" s="76"/>
    </row>
    <row r="107" ht="13.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6"/>
      <c r="L107" s="76"/>
    </row>
    <row r="108" ht="13.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6"/>
      <c r="L108" s="76"/>
    </row>
    <row r="109" ht="13.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6"/>
      <c r="L109" s="76"/>
    </row>
    <row r="110" ht="13.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6"/>
      <c r="L110" s="76"/>
    </row>
    <row r="111" ht="13.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6"/>
      <c r="L111" s="76"/>
    </row>
    <row r="112" ht="13.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6"/>
      <c r="L112" s="76"/>
    </row>
    <row r="113" ht="13.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6"/>
      <c r="L113" s="76"/>
    </row>
    <row r="114" ht="13.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6"/>
      <c r="L114" s="76"/>
    </row>
    <row r="115" ht="13.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6"/>
      <c r="L115" s="76"/>
    </row>
    <row r="116" ht="13.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6"/>
      <c r="L116" s="76"/>
    </row>
    <row r="117" ht="13.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6"/>
      <c r="L117" s="76"/>
    </row>
    <row r="118" ht="13.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6"/>
      <c r="L118" s="76"/>
    </row>
    <row r="119" ht="13.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6"/>
      <c r="L119" s="76"/>
    </row>
    <row r="120" ht="13.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6"/>
      <c r="L120" s="76"/>
    </row>
    <row r="121" ht="13.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6"/>
      <c r="L121" s="76"/>
    </row>
    <row r="122" ht="13.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6"/>
      <c r="L122" s="76"/>
    </row>
    <row r="123" ht="13.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6"/>
      <c r="L123" s="76"/>
    </row>
    <row r="124" ht="13.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6"/>
      <c r="L124" s="76"/>
    </row>
    <row r="125" ht="13.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6"/>
      <c r="L125" s="76"/>
    </row>
    <row r="126" ht="13.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6"/>
      <c r="L126" s="76"/>
    </row>
    <row r="127" ht="13.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6"/>
      <c r="L127" s="76"/>
    </row>
    <row r="128" ht="13.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6"/>
      <c r="L128" s="76"/>
    </row>
    <row r="129" ht="13.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6"/>
      <c r="L129" s="76"/>
    </row>
    <row r="130" ht="13.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6"/>
      <c r="L130" s="76"/>
    </row>
    <row r="131" ht="13.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6"/>
      <c r="L131" s="76"/>
    </row>
    <row r="132" ht="13.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6"/>
      <c r="L132" s="76"/>
    </row>
    <row r="133" ht="13.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6"/>
      <c r="L133" s="76"/>
    </row>
    <row r="134" ht="13.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6"/>
      <c r="L134" s="76"/>
    </row>
    <row r="135" ht="13.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6"/>
      <c r="L135" s="76"/>
    </row>
    <row r="136" ht="13.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6"/>
      <c r="L136" s="76"/>
    </row>
    <row r="137" ht="13.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6"/>
      <c r="L137" s="76"/>
    </row>
    <row r="138" ht="13.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6"/>
      <c r="L138" s="76"/>
    </row>
    <row r="139" ht="13.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6"/>
      <c r="L139" s="76"/>
    </row>
    <row r="140" ht="13.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6"/>
      <c r="L140" s="76"/>
    </row>
    <row r="141" ht="13.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6"/>
      <c r="L141" s="76"/>
    </row>
    <row r="142" ht="13.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6"/>
      <c r="L142" s="76"/>
    </row>
    <row r="143" ht="13.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6"/>
      <c r="L143" s="76"/>
    </row>
    <row r="144" ht="13.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6"/>
      <c r="L144" s="76"/>
    </row>
    <row r="145" ht="13.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6"/>
      <c r="L145" s="76"/>
    </row>
    <row r="146" ht="13.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6"/>
      <c r="L146" s="76"/>
    </row>
    <row r="147" ht="13.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6"/>
      <c r="L147" s="76"/>
    </row>
    <row r="148" ht="13.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6"/>
      <c r="L148" s="76"/>
    </row>
    <row r="149" ht="13.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6"/>
      <c r="L149" s="76"/>
    </row>
    <row r="150" ht="13.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6"/>
      <c r="L150" s="76"/>
    </row>
    <row r="151" ht="13.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6"/>
      <c r="L151" s="76"/>
    </row>
    <row r="152" ht="13.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6"/>
      <c r="L152" s="76"/>
    </row>
    <row r="153" ht="13.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6"/>
      <c r="L153" s="76"/>
    </row>
    <row r="154" ht="13.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6"/>
      <c r="L154" s="76"/>
    </row>
    <row r="155" ht="13.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6"/>
      <c r="L155" s="76"/>
    </row>
    <row r="156" ht="13.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6"/>
      <c r="L156" s="76"/>
    </row>
    <row r="157" ht="13.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6"/>
      <c r="L157" s="76"/>
    </row>
    <row r="158" ht="13.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6"/>
      <c r="L158" s="76"/>
    </row>
    <row r="159" ht="13.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6"/>
      <c r="L159" s="76"/>
    </row>
    <row r="160" ht="13.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6"/>
      <c r="L160" s="76"/>
    </row>
    <row r="161" ht="13.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6"/>
      <c r="L161" s="76"/>
    </row>
    <row r="162" ht="13.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6"/>
      <c r="L162" s="76"/>
    </row>
    <row r="163" ht="13.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6"/>
      <c r="L163" s="76"/>
    </row>
    <row r="164" ht="13.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6"/>
      <c r="L164" s="76"/>
    </row>
    <row r="165" ht="13.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6"/>
      <c r="L165" s="76"/>
    </row>
    <row r="166" ht="13.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6"/>
      <c r="L166" s="76"/>
    </row>
    <row r="167" ht="13.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6"/>
      <c r="L167" s="76"/>
    </row>
    <row r="168" ht="13.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6"/>
      <c r="L168" s="76"/>
    </row>
    <row r="169" ht="13.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6"/>
      <c r="L169" s="76"/>
    </row>
    <row r="170" ht="13.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6"/>
      <c r="L170" s="76"/>
    </row>
    <row r="171" ht="13.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6"/>
      <c r="L171" s="76"/>
    </row>
    <row r="172" ht="13.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6"/>
      <c r="L172" s="76"/>
    </row>
    <row r="173" ht="13.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6"/>
      <c r="L173" s="76"/>
    </row>
    <row r="174" ht="13.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6"/>
      <c r="L174" s="76"/>
    </row>
    <row r="175" ht="13.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6"/>
      <c r="L175" s="76"/>
    </row>
    <row r="176" ht="13.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6"/>
      <c r="L176" s="76"/>
    </row>
    <row r="177" ht="13.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6"/>
      <c r="L177" s="76"/>
    </row>
    <row r="178" ht="13.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6"/>
      <c r="L178" s="76"/>
    </row>
    <row r="179" ht="13.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6"/>
      <c r="L179" s="76"/>
    </row>
    <row r="180" ht="13.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6"/>
      <c r="L180" s="76"/>
    </row>
    <row r="181" ht="13.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6"/>
      <c r="L181" s="76"/>
    </row>
    <row r="182" ht="13.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6"/>
      <c r="L182" s="76"/>
    </row>
    <row r="183" ht="13.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6"/>
      <c r="L183" s="76"/>
    </row>
    <row r="184" ht="13.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6"/>
      <c r="L184" s="76"/>
    </row>
    <row r="185" ht="13.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6"/>
      <c r="L185" s="76"/>
    </row>
    <row r="186" ht="13.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6"/>
      <c r="L186" s="76"/>
    </row>
    <row r="187" ht="13.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6"/>
      <c r="L187" s="76"/>
    </row>
    <row r="188" ht="13.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6"/>
      <c r="L188" s="76"/>
    </row>
    <row r="189" ht="13.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6"/>
      <c r="L189" s="76"/>
    </row>
    <row r="190" ht="13.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6"/>
      <c r="L190" s="76"/>
    </row>
    <row r="191" ht="13.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6"/>
      <c r="L191" s="76"/>
    </row>
    <row r="192" ht="13.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6"/>
      <c r="L192" s="76"/>
    </row>
    <row r="193" ht="13.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6"/>
      <c r="L193" s="76"/>
    </row>
    <row r="194" ht="13.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6"/>
      <c r="L194" s="76"/>
    </row>
    <row r="195" ht="13.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6"/>
      <c r="L195" s="76"/>
    </row>
    <row r="196" ht="13.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6"/>
      <c r="L196" s="76"/>
    </row>
    <row r="197" ht="13.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6"/>
      <c r="L197" s="76"/>
    </row>
    <row r="198" ht="13.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6"/>
      <c r="L198" s="76"/>
    </row>
    <row r="199" ht="13.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6"/>
      <c r="L199" s="76"/>
    </row>
    <row r="200" ht="13.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6"/>
      <c r="L200" s="76"/>
    </row>
    <row r="201" ht="13.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6"/>
      <c r="L201" s="76"/>
    </row>
    <row r="202" ht="13.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6"/>
      <c r="L202" s="76"/>
    </row>
    <row r="203" ht="13.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6"/>
      <c r="L203" s="76"/>
    </row>
    <row r="204" ht="13.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6"/>
      <c r="L204" s="76"/>
    </row>
    <row r="205" ht="13.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6"/>
      <c r="L205" s="76"/>
    </row>
    <row r="206" ht="13.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6"/>
      <c r="L206" s="76"/>
    </row>
    <row r="207" ht="13.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6"/>
      <c r="L207" s="76"/>
    </row>
    <row r="208" ht="13.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6"/>
      <c r="L208" s="76"/>
    </row>
    <row r="209" ht="13.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6"/>
      <c r="L209" s="76"/>
    </row>
    <row r="210" ht="13.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6"/>
      <c r="L210" s="76"/>
    </row>
    <row r="211" ht="13.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6"/>
      <c r="L211" s="76"/>
    </row>
    <row r="212" ht="13.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6"/>
      <c r="L212" s="76"/>
    </row>
    <row r="213" ht="13.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6"/>
      <c r="L213" s="76"/>
    </row>
    <row r="214" ht="13.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6"/>
      <c r="L214" s="76"/>
    </row>
    <row r="215" ht="13.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6"/>
      <c r="L215" s="76"/>
    </row>
    <row r="216" ht="13.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6"/>
      <c r="L216" s="76"/>
    </row>
    <row r="217" ht="13.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6"/>
      <c r="L217" s="76"/>
    </row>
    <row r="218" ht="13.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6"/>
      <c r="L218" s="76"/>
    </row>
    <row r="219" ht="13.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6"/>
      <c r="L219" s="76"/>
    </row>
    <row r="220" ht="13.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6"/>
      <c r="L220" s="76"/>
    </row>
    <row r="221" ht="13.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6"/>
      <c r="L221" s="76"/>
    </row>
    <row r="222" ht="13.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6"/>
      <c r="L222" s="76"/>
    </row>
    <row r="223" ht="13.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6"/>
      <c r="L223" s="76"/>
    </row>
    <row r="224" ht="13.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6"/>
      <c r="L224" s="76"/>
    </row>
    <row r="225" ht="13.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6"/>
      <c r="L225" s="76"/>
    </row>
    <row r="226" ht="13.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6"/>
      <c r="L226" s="76"/>
    </row>
    <row r="227" ht="13.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6"/>
      <c r="L227" s="76"/>
    </row>
    <row r="228" ht="13.5" customHeight="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6"/>
      <c r="L228" s="76"/>
    </row>
    <row r="229" ht="13.5" customHeight="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6"/>
      <c r="L229" s="76"/>
    </row>
    <row r="230" ht="13.5" customHeight="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6"/>
      <c r="L230" s="76"/>
    </row>
    <row r="231" ht="13.5" customHeight="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6"/>
      <c r="L231" s="76"/>
    </row>
    <row r="232" ht="13.5" customHeight="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6"/>
      <c r="L232" s="76"/>
    </row>
    <row r="233" ht="13.5" customHeight="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6"/>
      <c r="L233" s="76"/>
    </row>
    <row r="234" ht="13.5" customHeight="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6"/>
      <c r="L234" s="76"/>
    </row>
    <row r="235" ht="13.5" customHeight="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6"/>
      <c r="L235" s="76"/>
    </row>
    <row r="236" ht="13.5" customHeight="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6"/>
      <c r="L236" s="76"/>
    </row>
    <row r="237" ht="13.5" customHeight="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6"/>
      <c r="L237" s="76"/>
    </row>
    <row r="238" ht="13.5" customHeight="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6"/>
      <c r="L238" s="76"/>
    </row>
    <row r="239" ht="13.5" customHeight="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6"/>
      <c r="L239" s="76"/>
    </row>
    <row r="240" ht="13.5" customHeight="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6"/>
      <c r="L240" s="76"/>
    </row>
    <row r="241" ht="13.5" customHeight="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6"/>
      <c r="L241" s="76"/>
    </row>
    <row r="242" ht="13.5" customHeight="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6"/>
      <c r="L242" s="76"/>
    </row>
    <row r="243" ht="13.5" customHeight="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6"/>
      <c r="L243" s="76"/>
    </row>
    <row r="244" ht="13.5" customHeight="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6"/>
      <c r="L244" s="76"/>
    </row>
    <row r="245" ht="13.5" customHeight="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6"/>
      <c r="L245" s="76"/>
    </row>
    <row r="246" ht="13.5" customHeight="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6"/>
      <c r="L246" s="76"/>
    </row>
    <row r="247" ht="13.5" customHeight="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6"/>
      <c r="L247" s="76"/>
    </row>
    <row r="248" ht="13.5" customHeight="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6"/>
      <c r="L248" s="76"/>
    </row>
    <row r="249" ht="13.5" customHeight="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6"/>
      <c r="L249" s="76"/>
    </row>
    <row r="250" ht="13.5" customHeight="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6"/>
      <c r="L250" s="76"/>
    </row>
    <row r="251" ht="13.5" customHeight="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6"/>
      <c r="L251" s="76"/>
    </row>
    <row r="252" ht="13.5" customHeight="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6"/>
      <c r="L252" s="76"/>
    </row>
    <row r="253" ht="13.5" customHeight="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6"/>
      <c r="L253" s="76"/>
    </row>
    <row r="254" ht="13.5" customHeight="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6"/>
      <c r="L254" s="76"/>
    </row>
    <row r="255" ht="13.5" customHeight="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6"/>
      <c r="L255" s="76"/>
    </row>
    <row r="256" ht="13.5" customHeight="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6"/>
      <c r="L256" s="76"/>
    </row>
    <row r="257" ht="13.5" customHeight="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6"/>
      <c r="L257" s="76"/>
    </row>
    <row r="258" ht="13.5" customHeight="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6"/>
      <c r="L258" s="76"/>
    </row>
    <row r="259" ht="13.5" customHeight="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6"/>
      <c r="L259" s="76"/>
    </row>
    <row r="260" ht="13.5" customHeight="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6"/>
      <c r="L260" s="76"/>
    </row>
    <row r="261" ht="13.5" customHeight="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6"/>
      <c r="L261" s="76"/>
    </row>
    <row r="262" ht="13.5" customHeight="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6"/>
      <c r="L262" s="76"/>
    </row>
    <row r="263" ht="13.5" customHeight="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6"/>
      <c r="L263" s="76"/>
    </row>
    <row r="264" ht="13.5" customHeight="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6"/>
      <c r="L264" s="76"/>
    </row>
    <row r="265" ht="13.5" customHeight="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6"/>
      <c r="L265" s="76"/>
    </row>
    <row r="266" ht="13.5" customHeight="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6"/>
      <c r="L266" s="76"/>
    </row>
    <row r="267" ht="13.5" customHeight="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6"/>
      <c r="L267" s="76"/>
    </row>
    <row r="268" ht="13.5" customHeight="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6"/>
      <c r="L268" s="76"/>
    </row>
    <row r="269" ht="13.5" customHeight="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6"/>
      <c r="L269" s="76"/>
    </row>
    <row r="270" ht="13.5" customHeight="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6"/>
      <c r="L270" s="76"/>
    </row>
    <row r="271" ht="13.5" customHeight="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6"/>
      <c r="L271" s="76"/>
    </row>
    <row r="272" ht="13.5" customHeight="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6"/>
      <c r="L272" s="76"/>
    </row>
    <row r="273" ht="13.5" customHeight="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6"/>
      <c r="L273" s="76"/>
    </row>
    <row r="274" ht="13.5" customHeight="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6"/>
      <c r="L274" s="76"/>
    </row>
    <row r="275" ht="13.5" customHeight="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6"/>
      <c r="L275" s="76"/>
    </row>
    <row r="276" ht="13.5" customHeight="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6"/>
      <c r="L276" s="76"/>
    </row>
    <row r="277" ht="13.5" customHeight="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6"/>
      <c r="L277" s="76"/>
    </row>
    <row r="278" ht="13.5" customHeight="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6"/>
      <c r="L278" s="76"/>
    </row>
    <row r="279" ht="13.5" customHeight="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6"/>
      <c r="L279" s="76"/>
    </row>
    <row r="280" ht="13.5" customHeight="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6"/>
      <c r="L280" s="76"/>
    </row>
    <row r="281" ht="13.5" customHeight="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6"/>
      <c r="L281" s="76"/>
    </row>
    <row r="282" ht="13.5" customHeight="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6"/>
      <c r="L282" s="76"/>
    </row>
    <row r="283" ht="13.5" customHeight="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6"/>
      <c r="L283" s="76"/>
    </row>
    <row r="284" ht="13.5" customHeight="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6"/>
      <c r="L284" s="76"/>
    </row>
    <row r="285" ht="13.5" customHeight="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6"/>
      <c r="L285" s="76"/>
    </row>
    <row r="286" ht="13.5" customHeight="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6"/>
      <c r="L286" s="76"/>
    </row>
    <row r="287" ht="13.5" customHeight="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6"/>
      <c r="L287" s="76"/>
    </row>
    <row r="288" ht="13.5" customHeight="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6"/>
      <c r="L288" s="76"/>
    </row>
    <row r="289" ht="13.5" customHeight="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6"/>
      <c r="L289" s="76"/>
    </row>
    <row r="290" ht="13.5" customHeight="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6"/>
      <c r="L290" s="76"/>
    </row>
    <row r="291" ht="13.5" customHeight="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6"/>
      <c r="L291" s="76"/>
    </row>
    <row r="292" ht="13.5" customHeight="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6"/>
      <c r="L292" s="76"/>
    </row>
    <row r="293" ht="13.5" customHeight="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6"/>
      <c r="L293" s="76"/>
    </row>
    <row r="294" ht="13.5" customHeight="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6"/>
      <c r="L294" s="76"/>
    </row>
    <row r="295" ht="13.5" customHeight="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6"/>
      <c r="L295" s="76"/>
    </row>
    <row r="296" ht="13.5" customHeight="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6"/>
      <c r="L296" s="76"/>
    </row>
    <row r="297" ht="13.5" customHeight="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6"/>
      <c r="L297" s="76"/>
    </row>
    <row r="298" ht="13.5" customHeight="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6"/>
      <c r="L298" s="76"/>
    </row>
    <row r="299" ht="13.5" customHeight="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6"/>
      <c r="L299" s="76"/>
    </row>
    <row r="300" ht="13.5" customHeight="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6"/>
      <c r="L300" s="76"/>
    </row>
    <row r="301" ht="13.5" customHeight="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6"/>
      <c r="L301" s="76"/>
    </row>
    <row r="302" ht="13.5" customHeight="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6"/>
      <c r="L302" s="76"/>
    </row>
    <row r="303" ht="13.5" customHeight="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6"/>
      <c r="L303" s="76"/>
    </row>
    <row r="304" ht="13.5" customHeight="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6"/>
      <c r="L304" s="76"/>
    </row>
    <row r="305" ht="13.5" customHeight="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6"/>
      <c r="L305" s="76"/>
    </row>
    <row r="306" ht="13.5" customHeight="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6"/>
      <c r="L306" s="76"/>
    </row>
    <row r="307" ht="13.5" customHeight="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6"/>
      <c r="L307" s="76"/>
    </row>
    <row r="308" ht="13.5" customHeight="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6"/>
      <c r="L308" s="76"/>
    </row>
    <row r="309" ht="13.5" customHeight="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6"/>
      <c r="L309" s="76"/>
    </row>
    <row r="310" ht="13.5" customHeight="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6"/>
      <c r="L310" s="76"/>
    </row>
    <row r="311" ht="13.5" customHeight="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6"/>
      <c r="L311" s="76"/>
    </row>
    <row r="312" ht="13.5" customHeight="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6"/>
      <c r="L312" s="76"/>
    </row>
    <row r="313" ht="13.5" customHeight="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6"/>
      <c r="L313" s="76"/>
    </row>
    <row r="314" ht="13.5" customHeight="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6"/>
      <c r="L314" s="76"/>
    </row>
    <row r="315" ht="13.5" customHeight="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6"/>
      <c r="L315" s="76"/>
    </row>
    <row r="316" ht="13.5" customHeight="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6"/>
      <c r="L316" s="76"/>
    </row>
    <row r="317" ht="13.5" customHeight="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6"/>
      <c r="L317" s="76"/>
    </row>
    <row r="318" ht="13.5" customHeight="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6"/>
      <c r="L318" s="76"/>
    </row>
    <row r="319" ht="13.5" customHeight="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6"/>
      <c r="L319" s="76"/>
    </row>
    <row r="320" ht="13.5" customHeight="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6"/>
      <c r="L320" s="76"/>
    </row>
    <row r="321" ht="13.5" customHeight="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6"/>
      <c r="L321" s="76"/>
    </row>
    <row r="322" ht="13.5" customHeight="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6"/>
      <c r="L322" s="76"/>
    </row>
    <row r="323" ht="13.5" customHeight="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6"/>
      <c r="L323" s="76"/>
    </row>
    <row r="324" ht="13.5" customHeight="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6"/>
      <c r="L324" s="76"/>
    </row>
    <row r="325" ht="13.5" customHeight="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6"/>
      <c r="L325" s="76"/>
    </row>
    <row r="326" ht="13.5" customHeight="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6"/>
      <c r="L326" s="76"/>
    </row>
    <row r="327" ht="13.5" customHeight="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6"/>
      <c r="L327" s="76"/>
    </row>
    <row r="328" ht="13.5" customHeight="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6"/>
      <c r="L328" s="76"/>
    </row>
    <row r="329" ht="13.5" customHeight="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6"/>
      <c r="L329" s="76"/>
    </row>
    <row r="330" ht="13.5" customHeight="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6"/>
      <c r="L330" s="76"/>
    </row>
    <row r="331" ht="13.5" customHeight="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6"/>
      <c r="L331" s="76"/>
    </row>
    <row r="332" ht="13.5" customHeight="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6"/>
      <c r="L332" s="76"/>
    </row>
    <row r="333" ht="13.5" customHeight="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6"/>
      <c r="L333" s="76"/>
    </row>
    <row r="334" ht="13.5" customHeight="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6"/>
      <c r="L334" s="76"/>
    </row>
    <row r="335" ht="13.5" customHeight="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6"/>
      <c r="L335" s="76"/>
    </row>
    <row r="336" ht="13.5" customHeight="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6"/>
      <c r="L336" s="76"/>
    </row>
    <row r="337" ht="13.5" customHeight="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6"/>
      <c r="L337" s="76"/>
    </row>
    <row r="338" ht="13.5" customHeight="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6"/>
      <c r="L338" s="76"/>
    </row>
    <row r="339" ht="13.5" customHeight="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6"/>
      <c r="L339" s="76"/>
    </row>
    <row r="340" ht="13.5" customHeight="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6"/>
      <c r="L340" s="76"/>
    </row>
    <row r="341" ht="13.5" customHeight="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6"/>
      <c r="L341" s="76"/>
    </row>
    <row r="342" ht="13.5" customHeight="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6"/>
      <c r="L342" s="76"/>
    </row>
    <row r="343" ht="13.5" customHeight="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6"/>
      <c r="L343" s="76"/>
    </row>
    <row r="344" ht="13.5" customHeight="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6"/>
      <c r="L344" s="76"/>
    </row>
    <row r="345" ht="13.5" customHeight="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6"/>
      <c r="L345" s="76"/>
    </row>
    <row r="346" ht="13.5" customHeight="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6"/>
      <c r="L346" s="76"/>
    </row>
    <row r="347" ht="13.5" customHeight="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6"/>
      <c r="L347" s="76"/>
    </row>
    <row r="348" ht="13.5" customHeight="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6"/>
      <c r="L348" s="76"/>
    </row>
    <row r="349" ht="13.5" customHeight="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6"/>
      <c r="L349" s="76"/>
    </row>
    <row r="350" ht="13.5" customHeight="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6"/>
      <c r="L350" s="76"/>
    </row>
    <row r="351" ht="13.5" customHeight="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6"/>
      <c r="L351" s="76"/>
    </row>
    <row r="352" ht="13.5" customHeight="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6"/>
      <c r="L352" s="76"/>
    </row>
    <row r="353" ht="13.5" customHeight="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6"/>
      <c r="L353" s="76"/>
    </row>
    <row r="354" ht="13.5" customHeight="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6"/>
      <c r="L354" s="76"/>
    </row>
    <row r="355" ht="13.5" customHeight="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6"/>
      <c r="L355" s="76"/>
    </row>
    <row r="356" ht="13.5" customHeight="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6"/>
      <c r="L356" s="76"/>
    </row>
    <row r="357" ht="13.5" customHeight="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6"/>
      <c r="L357" s="76"/>
    </row>
    <row r="358" ht="13.5" customHeight="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6"/>
      <c r="L358" s="76"/>
    </row>
    <row r="359" ht="13.5" customHeight="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6"/>
      <c r="L359" s="76"/>
    </row>
    <row r="360" ht="13.5" customHeight="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6"/>
      <c r="L360" s="76"/>
    </row>
    <row r="361" ht="13.5" customHeight="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6"/>
      <c r="L361" s="76"/>
    </row>
    <row r="362" ht="13.5" customHeight="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6"/>
      <c r="L362" s="76"/>
    </row>
    <row r="363" ht="13.5" customHeight="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6"/>
      <c r="L363" s="76"/>
    </row>
    <row r="364" ht="13.5" customHeight="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6"/>
      <c r="L364" s="76"/>
    </row>
    <row r="365" ht="13.5" customHeight="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6"/>
      <c r="L365" s="76"/>
    </row>
    <row r="366" ht="13.5" customHeight="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6"/>
      <c r="L366" s="76"/>
    </row>
    <row r="367" ht="13.5" customHeight="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6"/>
      <c r="L367" s="76"/>
    </row>
    <row r="368" ht="13.5" customHeight="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6"/>
      <c r="L368" s="76"/>
    </row>
    <row r="369" ht="13.5" customHeight="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6"/>
      <c r="L369" s="76"/>
    </row>
    <row r="370" ht="13.5" customHeight="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6"/>
      <c r="L370" s="76"/>
    </row>
    <row r="371" ht="13.5" customHeight="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6"/>
      <c r="L371" s="76"/>
    </row>
    <row r="372" ht="13.5" customHeight="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6"/>
      <c r="L372" s="76"/>
    </row>
    <row r="373" ht="13.5" customHeight="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6"/>
      <c r="L373" s="76"/>
    </row>
    <row r="374" ht="13.5" customHeight="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6"/>
      <c r="L374" s="76"/>
    </row>
    <row r="375" ht="13.5" customHeight="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6"/>
      <c r="L375" s="76"/>
    </row>
    <row r="376" ht="13.5" customHeight="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6"/>
      <c r="L376" s="76"/>
    </row>
    <row r="377" ht="13.5" customHeight="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6"/>
      <c r="L377" s="76"/>
    </row>
    <row r="378" ht="13.5" customHeight="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6"/>
      <c r="L378" s="76"/>
    </row>
    <row r="379" ht="13.5" customHeight="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6"/>
      <c r="L379" s="76"/>
    </row>
    <row r="380" ht="13.5" customHeight="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6"/>
      <c r="L380" s="76"/>
    </row>
    <row r="381" ht="13.5" customHeight="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6"/>
      <c r="L381" s="76"/>
    </row>
    <row r="382" ht="13.5" customHeight="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6"/>
      <c r="L382" s="76"/>
    </row>
    <row r="383" ht="13.5" customHeight="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6"/>
      <c r="L383" s="76"/>
    </row>
    <row r="384" ht="13.5" customHeight="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6"/>
      <c r="L384" s="76"/>
    </row>
    <row r="385" ht="13.5" customHeight="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6"/>
      <c r="L385" s="76"/>
    </row>
    <row r="386" ht="13.5" customHeight="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6"/>
      <c r="L386" s="76"/>
    </row>
    <row r="387" ht="13.5" customHeight="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6"/>
      <c r="L387" s="76"/>
    </row>
    <row r="388" ht="13.5" customHeight="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6"/>
      <c r="L388" s="76"/>
    </row>
    <row r="389" ht="13.5" customHeight="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6"/>
      <c r="L389" s="76"/>
    </row>
    <row r="390" ht="13.5" customHeight="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6"/>
      <c r="L390" s="76"/>
    </row>
    <row r="391" ht="13.5" customHeight="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6"/>
      <c r="L391" s="76"/>
    </row>
    <row r="392" ht="13.5" customHeight="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6"/>
      <c r="L392" s="76"/>
    </row>
    <row r="393" ht="13.5" customHeight="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6"/>
      <c r="L393" s="76"/>
    </row>
    <row r="394" ht="13.5" customHeight="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6"/>
      <c r="L394" s="76"/>
    </row>
    <row r="395" ht="13.5" customHeight="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6"/>
      <c r="L395" s="76"/>
    </row>
    <row r="396" ht="13.5" customHeight="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6"/>
      <c r="L396" s="76"/>
    </row>
    <row r="397" ht="13.5" customHeight="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6"/>
      <c r="L397" s="76"/>
    </row>
    <row r="398" ht="13.5" customHeight="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6"/>
      <c r="L398" s="76"/>
    </row>
    <row r="399" ht="13.5" customHeight="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6"/>
      <c r="L399" s="76"/>
    </row>
    <row r="400" ht="13.5" customHeight="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6"/>
      <c r="L400" s="76"/>
    </row>
    <row r="401" ht="13.5" customHeight="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6"/>
      <c r="L401" s="76"/>
    </row>
    <row r="402" ht="13.5" customHeight="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6"/>
      <c r="L402" s="76"/>
    </row>
    <row r="403" ht="13.5" customHeight="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6"/>
      <c r="L403" s="76"/>
    </row>
    <row r="404" ht="13.5" customHeight="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6"/>
      <c r="L404" s="76"/>
    </row>
    <row r="405" ht="13.5" customHeight="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6"/>
      <c r="L405" s="76"/>
    </row>
    <row r="406" ht="13.5" customHeight="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6"/>
      <c r="L406" s="76"/>
    </row>
    <row r="407" ht="13.5" customHeight="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6"/>
      <c r="L407" s="76"/>
    </row>
    <row r="408" ht="13.5" customHeight="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6"/>
      <c r="L408" s="76"/>
    </row>
    <row r="409" ht="13.5" customHeight="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6"/>
      <c r="L409" s="76"/>
    </row>
    <row r="410" ht="13.5" customHeight="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6"/>
      <c r="L410" s="76"/>
    </row>
    <row r="411" ht="13.5" customHeight="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6"/>
      <c r="L411" s="76"/>
    </row>
    <row r="412" ht="13.5" customHeight="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6"/>
      <c r="L412" s="76"/>
    </row>
    <row r="413" ht="13.5" customHeight="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6"/>
      <c r="L413" s="76"/>
    </row>
    <row r="414" ht="13.5" customHeight="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6"/>
      <c r="L414" s="76"/>
    </row>
    <row r="415" ht="13.5" customHeight="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6"/>
      <c r="L415" s="76"/>
    </row>
    <row r="416" ht="13.5" customHeight="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6"/>
      <c r="L416" s="76"/>
    </row>
    <row r="417" ht="13.5" customHeight="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6"/>
      <c r="L417" s="76"/>
    </row>
    <row r="418" ht="13.5" customHeight="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6"/>
      <c r="L418" s="76"/>
    </row>
    <row r="419" ht="13.5" customHeight="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6"/>
      <c r="L419" s="76"/>
    </row>
    <row r="420" ht="13.5" customHeight="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6"/>
      <c r="L420" s="76"/>
    </row>
    <row r="421" ht="13.5" customHeight="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6"/>
      <c r="L421" s="76"/>
    </row>
    <row r="422" ht="13.5" customHeight="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6"/>
      <c r="L422" s="76"/>
    </row>
    <row r="423" ht="13.5" customHeight="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6"/>
      <c r="L423" s="76"/>
    </row>
    <row r="424" ht="13.5" customHeight="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6"/>
      <c r="L424" s="76"/>
    </row>
    <row r="425" ht="13.5" customHeight="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6"/>
      <c r="L425" s="76"/>
    </row>
    <row r="426" ht="13.5" customHeight="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6"/>
      <c r="L426" s="76"/>
    </row>
    <row r="427" ht="13.5" customHeight="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6"/>
      <c r="L427" s="76"/>
    </row>
    <row r="428" ht="13.5" customHeight="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6"/>
      <c r="L428" s="76"/>
    </row>
    <row r="429" ht="13.5" customHeight="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6"/>
      <c r="L429" s="76"/>
    </row>
    <row r="430" ht="13.5" customHeight="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6"/>
      <c r="L430" s="76"/>
    </row>
    <row r="431" ht="13.5" customHeight="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6"/>
      <c r="L431" s="76"/>
    </row>
    <row r="432" ht="13.5" customHeight="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6"/>
      <c r="L432" s="76"/>
    </row>
    <row r="433" ht="13.5" customHeight="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6"/>
      <c r="L433" s="76"/>
    </row>
    <row r="434" ht="13.5" customHeight="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6"/>
      <c r="L434" s="76"/>
    </row>
    <row r="435" ht="13.5" customHeight="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6"/>
      <c r="L435" s="76"/>
    </row>
    <row r="436" ht="13.5" customHeight="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6"/>
      <c r="L436" s="76"/>
    </row>
    <row r="437" ht="13.5" customHeight="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6"/>
      <c r="L437" s="76"/>
    </row>
    <row r="438" ht="13.5" customHeight="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6"/>
      <c r="L438" s="76"/>
    </row>
    <row r="439" ht="13.5" customHeight="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6"/>
      <c r="L439" s="76"/>
    </row>
    <row r="440" ht="13.5" customHeight="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6"/>
      <c r="L440" s="76"/>
    </row>
    <row r="441" ht="13.5" customHeight="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6"/>
      <c r="L441" s="76"/>
    </row>
    <row r="442" ht="13.5" customHeight="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6"/>
      <c r="L442" s="76"/>
    </row>
    <row r="443" ht="13.5" customHeight="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6"/>
      <c r="L443" s="76"/>
    </row>
    <row r="444" ht="13.5" customHeight="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6"/>
      <c r="L444" s="76"/>
    </row>
    <row r="445" ht="13.5" customHeight="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6"/>
      <c r="L445" s="76"/>
    </row>
    <row r="446" ht="13.5" customHeight="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6"/>
      <c r="L446" s="76"/>
    </row>
    <row r="447" ht="13.5" customHeight="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6"/>
      <c r="L447" s="76"/>
    </row>
    <row r="448" ht="13.5" customHeight="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6"/>
      <c r="L448" s="76"/>
    </row>
    <row r="449" ht="13.5" customHeight="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6"/>
      <c r="L449" s="76"/>
    </row>
    <row r="450" ht="13.5" customHeight="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6"/>
      <c r="L450" s="76"/>
    </row>
    <row r="451" ht="13.5" customHeight="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6"/>
      <c r="L451" s="76"/>
    </row>
    <row r="452" ht="13.5" customHeight="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6"/>
      <c r="L452" s="76"/>
    </row>
    <row r="453" ht="13.5" customHeight="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6"/>
      <c r="L453" s="76"/>
    </row>
    <row r="454" ht="13.5" customHeight="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6"/>
      <c r="L454" s="76"/>
    </row>
    <row r="455" ht="13.5" customHeight="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6"/>
      <c r="L455" s="76"/>
    </row>
    <row r="456" ht="13.5" customHeight="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6"/>
      <c r="L456" s="76"/>
    </row>
    <row r="457" ht="13.5" customHeight="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6"/>
      <c r="L457" s="76"/>
    </row>
    <row r="458" ht="13.5" customHeight="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6"/>
      <c r="L458" s="76"/>
    </row>
    <row r="459" ht="13.5" customHeight="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6"/>
      <c r="L459" s="76"/>
    </row>
    <row r="460" ht="13.5" customHeight="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6"/>
      <c r="L460" s="76"/>
    </row>
    <row r="461" ht="13.5" customHeight="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6"/>
      <c r="L461" s="76"/>
    </row>
    <row r="462" ht="13.5" customHeight="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6"/>
      <c r="L462" s="76"/>
    </row>
    <row r="463" ht="13.5" customHeight="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6"/>
      <c r="L463" s="76"/>
    </row>
    <row r="464" ht="13.5" customHeight="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6"/>
      <c r="L464" s="76"/>
    </row>
    <row r="465" ht="13.5" customHeight="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6"/>
      <c r="L465" s="76"/>
    </row>
    <row r="466" ht="13.5" customHeight="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6"/>
      <c r="L466" s="76"/>
    </row>
    <row r="467" ht="13.5" customHeight="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6"/>
      <c r="L467" s="76"/>
    </row>
    <row r="468" ht="13.5" customHeight="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6"/>
      <c r="L468" s="76"/>
    </row>
    <row r="469" ht="13.5" customHeight="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6"/>
      <c r="L469" s="76"/>
    </row>
    <row r="470" ht="13.5" customHeight="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6"/>
      <c r="L470" s="76"/>
    </row>
    <row r="471" ht="13.5" customHeight="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6"/>
      <c r="L471" s="76"/>
    </row>
    <row r="472" ht="13.5" customHeight="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6"/>
      <c r="L472" s="76"/>
    </row>
    <row r="473" ht="13.5" customHeight="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6"/>
      <c r="L473" s="76"/>
    </row>
    <row r="474" ht="13.5" customHeight="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6"/>
      <c r="L474" s="76"/>
    </row>
    <row r="475" ht="13.5" customHeight="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6"/>
      <c r="L475" s="76"/>
    </row>
    <row r="476" ht="13.5" customHeight="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6"/>
      <c r="L476" s="76"/>
    </row>
    <row r="477" ht="13.5" customHeight="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6"/>
      <c r="L477" s="76"/>
    </row>
    <row r="478" ht="13.5" customHeight="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6"/>
      <c r="L478" s="76"/>
    </row>
    <row r="479" ht="13.5" customHeight="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6"/>
      <c r="L479" s="76"/>
    </row>
    <row r="480" ht="13.5" customHeight="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6"/>
      <c r="L480" s="76"/>
    </row>
    <row r="481" ht="13.5" customHeight="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6"/>
      <c r="L481" s="76"/>
    </row>
    <row r="482" ht="13.5" customHeight="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6"/>
      <c r="L482" s="76"/>
    </row>
    <row r="483" ht="13.5" customHeight="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6"/>
      <c r="L483" s="76"/>
    </row>
    <row r="484" ht="13.5" customHeight="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6"/>
      <c r="L484" s="76"/>
    </row>
    <row r="485" ht="13.5" customHeight="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6"/>
      <c r="L485" s="76"/>
    </row>
    <row r="486" ht="13.5" customHeight="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6"/>
      <c r="L486" s="76"/>
    </row>
    <row r="487" ht="13.5" customHeight="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6"/>
      <c r="L487" s="76"/>
    </row>
    <row r="488" ht="13.5" customHeight="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6"/>
      <c r="L488" s="76"/>
    </row>
    <row r="489" ht="13.5" customHeight="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6"/>
      <c r="L489" s="76"/>
    </row>
    <row r="490" ht="13.5" customHeight="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6"/>
      <c r="L490" s="76"/>
    </row>
    <row r="491" ht="13.5" customHeight="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6"/>
      <c r="L491" s="76"/>
    </row>
    <row r="492" ht="13.5" customHeight="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6"/>
      <c r="L492" s="76"/>
    </row>
    <row r="493" ht="13.5" customHeight="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6"/>
      <c r="L493" s="76"/>
    </row>
    <row r="494" ht="13.5" customHeight="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6"/>
      <c r="L494" s="76"/>
    </row>
    <row r="495" ht="13.5" customHeight="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6"/>
      <c r="L495" s="76"/>
    </row>
    <row r="496" ht="13.5" customHeight="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6"/>
      <c r="L496" s="76"/>
    </row>
    <row r="497" ht="13.5" customHeight="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6"/>
      <c r="L497" s="76"/>
    </row>
    <row r="498" ht="13.5" customHeight="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6"/>
      <c r="L498" s="76"/>
    </row>
    <row r="499" ht="13.5" customHeight="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6"/>
      <c r="L499" s="76"/>
    </row>
    <row r="500" ht="13.5" customHeight="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6"/>
      <c r="L500" s="76"/>
    </row>
    <row r="501" ht="13.5" customHeight="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6"/>
      <c r="L501" s="76"/>
    </row>
    <row r="502" ht="13.5" customHeight="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6"/>
      <c r="L502" s="76"/>
    </row>
    <row r="503" ht="13.5" customHeight="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6"/>
      <c r="L503" s="76"/>
    </row>
    <row r="504" ht="13.5" customHeight="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6"/>
      <c r="L504" s="76"/>
    </row>
    <row r="505" ht="13.5" customHeight="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6"/>
      <c r="L505" s="76"/>
    </row>
    <row r="506" ht="13.5" customHeight="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6"/>
      <c r="L506" s="76"/>
    </row>
    <row r="507" ht="13.5" customHeight="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6"/>
      <c r="L507" s="76"/>
    </row>
    <row r="508" ht="13.5" customHeight="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6"/>
      <c r="L508" s="76"/>
    </row>
    <row r="509" ht="13.5" customHeight="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6"/>
      <c r="L509" s="76"/>
    </row>
    <row r="510" ht="13.5" customHeight="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6"/>
      <c r="L510" s="76"/>
    </row>
    <row r="511" ht="13.5" customHeight="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6"/>
      <c r="L511" s="76"/>
    </row>
    <row r="512" ht="13.5" customHeight="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6"/>
      <c r="L512" s="76"/>
    </row>
    <row r="513" ht="13.5" customHeight="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6"/>
      <c r="L513" s="76"/>
    </row>
    <row r="514" ht="13.5" customHeight="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6"/>
      <c r="L514" s="76"/>
    </row>
    <row r="515" ht="13.5" customHeight="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6"/>
      <c r="L515" s="76"/>
    </row>
    <row r="516" ht="13.5" customHeight="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6"/>
      <c r="L516" s="76"/>
    </row>
    <row r="517" ht="13.5" customHeight="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6"/>
      <c r="L517" s="76"/>
    </row>
    <row r="518" ht="13.5" customHeight="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6"/>
      <c r="L518" s="76"/>
    </row>
    <row r="519" ht="13.5" customHeight="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6"/>
      <c r="L519" s="76"/>
    </row>
    <row r="520" ht="13.5" customHeight="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6"/>
      <c r="L520" s="76"/>
    </row>
    <row r="521" ht="13.5" customHeight="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6"/>
      <c r="L521" s="76"/>
    </row>
    <row r="522" ht="13.5" customHeight="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6"/>
      <c r="L522" s="76"/>
    </row>
    <row r="523" ht="13.5" customHeight="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6"/>
      <c r="L523" s="76"/>
    </row>
    <row r="524" ht="13.5" customHeight="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6"/>
      <c r="L524" s="76"/>
    </row>
    <row r="525" ht="13.5" customHeight="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6"/>
      <c r="L525" s="76"/>
    </row>
    <row r="526" ht="13.5" customHeight="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6"/>
      <c r="L526" s="76"/>
    </row>
    <row r="527" ht="13.5" customHeight="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6"/>
      <c r="L527" s="76"/>
    </row>
    <row r="528" ht="13.5" customHeight="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6"/>
      <c r="L528" s="76"/>
    </row>
    <row r="529" ht="13.5" customHeight="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6"/>
      <c r="L529" s="76"/>
    </row>
    <row r="530" ht="13.5" customHeight="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6"/>
      <c r="L530" s="76"/>
    </row>
    <row r="531" ht="13.5" customHeight="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6"/>
      <c r="L531" s="76"/>
    </row>
    <row r="532" ht="13.5" customHeight="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6"/>
      <c r="L532" s="76"/>
    </row>
    <row r="533" ht="13.5" customHeight="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6"/>
      <c r="L533" s="76"/>
    </row>
    <row r="534" ht="13.5" customHeight="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6"/>
      <c r="L534" s="76"/>
    </row>
    <row r="535" ht="13.5" customHeight="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6"/>
      <c r="L535" s="76"/>
    </row>
    <row r="536" ht="13.5" customHeight="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6"/>
      <c r="L536" s="76"/>
    </row>
    <row r="537" ht="13.5" customHeight="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6"/>
      <c r="L537" s="76"/>
    </row>
    <row r="538" ht="13.5" customHeight="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6"/>
      <c r="L538" s="76"/>
    </row>
    <row r="539" ht="13.5" customHeight="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6"/>
      <c r="L539" s="76"/>
    </row>
    <row r="540" ht="13.5" customHeight="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6"/>
      <c r="L540" s="76"/>
    </row>
    <row r="541" ht="13.5" customHeight="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6"/>
      <c r="L541" s="76"/>
    </row>
    <row r="542" ht="13.5" customHeight="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6"/>
      <c r="L542" s="76"/>
    </row>
    <row r="543" ht="13.5" customHeight="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6"/>
      <c r="L543" s="76"/>
    </row>
    <row r="544" ht="13.5" customHeight="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6"/>
      <c r="L544" s="76"/>
    </row>
    <row r="545" ht="13.5" customHeight="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6"/>
      <c r="L545" s="76"/>
    </row>
    <row r="546" ht="13.5" customHeight="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6"/>
      <c r="L546" s="76"/>
    </row>
    <row r="547" ht="13.5" customHeight="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6"/>
      <c r="L547" s="76"/>
    </row>
    <row r="548" ht="13.5" customHeight="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6"/>
      <c r="L548" s="76"/>
    </row>
    <row r="549" ht="13.5" customHeight="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6"/>
      <c r="L549" s="76"/>
    </row>
    <row r="550" ht="13.5" customHeight="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6"/>
      <c r="L550" s="76"/>
    </row>
    <row r="551" ht="13.5" customHeight="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6"/>
      <c r="L551" s="76"/>
    </row>
    <row r="552" ht="13.5" customHeight="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6"/>
      <c r="L552" s="76"/>
    </row>
    <row r="553" ht="13.5" customHeight="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6"/>
      <c r="L553" s="76"/>
    </row>
    <row r="554" ht="13.5" customHeight="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6"/>
      <c r="L554" s="76"/>
    </row>
    <row r="555" ht="13.5" customHeight="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6"/>
      <c r="L555" s="76"/>
    </row>
    <row r="556" ht="13.5" customHeight="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6"/>
      <c r="L556" s="76"/>
    </row>
    <row r="557" ht="13.5" customHeight="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6"/>
      <c r="L557" s="76"/>
    </row>
    <row r="558" ht="13.5" customHeight="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6"/>
      <c r="L558" s="76"/>
    </row>
    <row r="559" ht="13.5" customHeight="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6"/>
      <c r="L559" s="76"/>
    </row>
    <row r="560" ht="13.5" customHeight="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6"/>
      <c r="L560" s="76"/>
    </row>
    <row r="561" ht="13.5" customHeight="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6"/>
      <c r="L561" s="76"/>
    </row>
    <row r="562" ht="13.5" customHeight="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6"/>
      <c r="L562" s="76"/>
    </row>
    <row r="563" ht="13.5" customHeight="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6"/>
      <c r="L563" s="76"/>
    </row>
    <row r="564" ht="13.5" customHeight="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6"/>
      <c r="L564" s="76"/>
    </row>
    <row r="565" ht="13.5" customHeight="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6"/>
      <c r="L565" s="76"/>
    </row>
    <row r="566" ht="13.5" customHeight="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6"/>
      <c r="L566" s="76"/>
    </row>
    <row r="567" ht="13.5" customHeight="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6"/>
      <c r="L567" s="76"/>
    </row>
    <row r="568" ht="13.5" customHeight="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6"/>
      <c r="L568" s="76"/>
    </row>
    <row r="569" ht="13.5" customHeight="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6"/>
      <c r="L569" s="76"/>
    </row>
    <row r="570" ht="13.5" customHeight="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6"/>
      <c r="L570" s="76"/>
    </row>
    <row r="571" ht="13.5" customHeight="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6"/>
      <c r="L571" s="76"/>
    </row>
    <row r="572" ht="13.5" customHeight="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6"/>
      <c r="L572" s="76"/>
    </row>
    <row r="573" ht="13.5" customHeight="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6"/>
      <c r="L573" s="76"/>
    </row>
    <row r="574" ht="13.5" customHeight="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6"/>
      <c r="L574" s="76"/>
    </row>
    <row r="575" ht="13.5" customHeight="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6"/>
      <c r="L575" s="76"/>
    </row>
    <row r="576" ht="13.5" customHeight="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6"/>
      <c r="L576" s="76"/>
    </row>
    <row r="577" ht="13.5" customHeight="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6"/>
      <c r="L577" s="76"/>
    </row>
    <row r="578" ht="13.5" customHeight="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6"/>
      <c r="L578" s="76"/>
    </row>
    <row r="579" ht="13.5" customHeight="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6"/>
      <c r="L579" s="76"/>
    </row>
    <row r="580" ht="13.5" customHeight="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6"/>
      <c r="L580" s="76"/>
    </row>
    <row r="581" ht="13.5" customHeight="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6"/>
      <c r="L581" s="76"/>
    </row>
    <row r="582" ht="13.5" customHeight="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6"/>
      <c r="L582" s="76"/>
    </row>
    <row r="583" ht="13.5" customHeight="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6"/>
      <c r="L583" s="76"/>
    </row>
    <row r="584" ht="13.5" customHeight="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6"/>
      <c r="L584" s="76"/>
    </row>
    <row r="585" ht="13.5" customHeight="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6"/>
      <c r="L585" s="76"/>
    </row>
    <row r="586" ht="13.5" customHeight="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6"/>
      <c r="L586" s="76"/>
    </row>
    <row r="587" ht="13.5" customHeight="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6"/>
      <c r="L587" s="76"/>
    </row>
    <row r="588" ht="13.5" customHeight="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6"/>
      <c r="L588" s="76"/>
    </row>
    <row r="589" ht="13.5" customHeight="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6"/>
      <c r="L589" s="76"/>
    </row>
    <row r="590" ht="13.5" customHeight="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6"/>
      <c r="L590" s="76"/>
    </row>
    <row r="591" ht="13.5" customHeight="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6"/>
      <c r="L591" s="76"/>
    </row>
    <row r="592" ht="13.5" customHeight="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6"/>
      <c r="L592" s="76"/>
    </row>
    <row r="593" ht="13.5" customHeight="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6"/>
      <c r="L593" s="76"/>
    </row>
    <row r="594" ht="13.5" customHeight="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6"/>
      <c r="L594" s="76"/>
    </row>
    <row r="595" ht="13.5" customHeight="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6"/>
      <c r="L595" s="76"/>
    </row>
    <row r="596" ht="13.5" customHeight="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6"/>
      <c r="L596" s="76"/>
    </row>
    <row r="597" ht="13.5" customHeight="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6"/>
      <c r="L597" s="76"/>
    </row>
    <row r="598" ht="13.5" customHeight="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6"/>
      <c r="L598" s="76"/>
    </row>
    <row r="599" ht="13.5" customHeight="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6"/>
      <c r="L599" s="76"/>
    </row>
    <row r="600" ht="13.5" customHeight="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6"/>
      <c r="L600" s="76"/>
    </row>
    <row r="601" ht="13.5" customHeight="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6"/>
      <c r="L601" s="76"/>
    </row>
    <row r="602" ht="13.5" customHeight="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6"/>
      <c r="L602" s="76"/>
    </row>
    <row r="603" ht="13.5" customHeight="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6"/>
      <c r="L603" s="76"/>
    </row>
    <row r="604" ht="13.5" customHeight="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6"/>
      <c r="L604" s="76"/>
    </row>
    <row r="605" ht="13.5" customHeight="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6"/>
      <c r="L605" s="76"/>
    </row>
    <row r="606" ht="13.5" customHeight="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6"/>
      <c r="L606" s="76"/>
    </row>
    <row r="607" ht="13.5" customHeight="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6"/>
      <c r="L607" s="76"/>
    </row>
    <row r="608" ht="13.5" customHeight="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6"/>
      <c r="L608" s="76"/>
    </row>
    <row r="609" ht="13.5" customHeight="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6"/>
      <c r="L609" s="76"/>
    </row>
    <row r="610" ht="13.5" customHeight="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6"/>
      <c r="L610" s="76"/>
    </row>
    <row r="611" ht="13.5" customHeight="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6"/>
      <c r="L611" s="76"/>
    </row>
    <row r="612" ht="13.5" customHeight="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6"/>
      <c r="L612" s="76"/>
    </row>
    <row r="613" ht="13.5" customHeight="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6"/>
      <c r="L613" s="76"/>
    </row>
    <row r="614" ht="13.5" customHeight="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6"/>
      <c r="L614" s="76"/>
    </row>
    <row r="615" ht="13.5" customHeight="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6"/>
      <c r="L615" s="76"/>
    </row>
    <row r="616" ht="13.5" customHeight="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6"/>
      <c r="L616" s="76"/>
    </row>
    <row r="617" ht="13.5" customHeight="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6"/>
      <c r="L617" s="76"/>
    </row>
    <row r="618" ht="13.5" customHeight="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6"/>
      <c r="L618" s="76"/>
    </row>
    <row r="619" ht="13.5" customHeight="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6"/>
      <c r="L619" s="76"/>
    </row>
    <row r="620" ht="13.5" customHeight="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6"/>
      <c r="L620" s="76"/>
    </row>
    <row r="621" ht="13.5" customHeight="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6"/>
      <c r="L621" s="76"/>
    </row>
    <row r="622" ht="13.5" customHeight="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6"/>
      <c r="L622" s="76"/>
    </row>
    <row r="623" ht="13.5" customHeight="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6"/>
      <c r="L623" s="76"/>
    </row>
    <row r="624" ht="13.5" customHeight="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6"/>
      <c r="L624" s="76"/>
    </row>
    <row r="625" ht="13.5" customHeight="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6"/>
      <c r="L625" s="76"/>
    </row>
    <row r="626" ht="13.5" customHeight="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6"/>
      <c r="L626" s="76"/>
    </row>
    <row r="627" ht="13.5" customHeight="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6"/>
      <c r="L627" s="76"/>
    </row>
    <row r="628" ht="13.5" customHeight="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6"/>
      <c r="L628" s="76"/>
    </row>
    <row r="629" ht="13.5" customHeight="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6"/>
      <c r="L629" s="76"/>
    </row>
    <row r="630" ht="13.5" customHeight="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6"/>
      <c r="L630" s="76"/>
    </row>
    <row r="631" ht="13.5" customHeight="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6"/>
      <c r="L631" s="76"/>
    </row>
    <row r="632" ht="13.5" customHeight="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6"/>
      <c r="L632" s="76"/>
    </row>
    <row r="633" ht="13.5" customHeight="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6"/>
      <c r="L633" s="76"/>
    </row>
    <row r="634" ht="13.5" customHeight="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6"/>
      <c r="L634" s="76"/>
    </row>
    <row r="635" ht="13.5" customHeight="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6"/>
      <c r="L635" s="76"/>
    </row>
    <row r="636" ht="13.5" customHeight="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6"/>
      <c r="L636" s="76"/>
    </row>
    <row r="637" ht="13.5" customHeight="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6"/>
      <c r="L637" s="76"/>
    </row>
    <row r="638" ht="13.5" customHeight="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6"/>
      <c r="L638" s="76"/>
    </row>
    <row r="639" ht="13.5" customHeight="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6"/>
      <c r="L639" s="76"/>
    </row>
    <row r="640" ht="13.5" customHeight="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6"/>
      <c r="L640" s="76"/>
    </row>
    <row r="641" ht="13.5" customHeight="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6"/>
      <c r="L641" s="76"/>
    </row>
    <row r="642" ht="13.5" customHeight="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6"/>
      <c r="L642" s="76"/>
    </row>
    <row r="643" ht="13.5" customHeight="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6"/>
      <c r="L643" s="76"/>
    </row>
    <row r="644" ht="13.5" customHeight="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6"/>
      <c r="L644" s="76"/>
    </row>
    <row r="645" ht="13.5" customHeight="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6"/>
      <c r="L645" s="76"/>
    </row>
    <row r="646" ht="13.5" customHeight="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6"/>
      <c r="L646" s="76"/>
    </row>
    <row r="647" ht="13.5" customHeight="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6"/>
      <c r="L647" s="76"/>
    </row>
    <row r="648" ht="13.5" customHeight="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6"/>
      <c r="L648" s="76"/>
    </row>
    <row r="649" ht="13.5" customHeight="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6"/>
      <c r="L649" s="76"/>
    </row>
    <row r="650" ht="13.5" customHeight="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6"/>
      <c r="L650" s="76"/>
    </row>
    <row r="651" ht="13.5" customHeight="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6"/>
      <c r="L651" s="76"/>
    </row>
    <row r="652" ht="13.5" customHeight="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6"/>
      <c r="L652" s="76"/>
    </row>
    <row r="653" ht="13.5" customHeight="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6"/>
      <c r="L653" s="76"/>
    </row>
    <row r="654" ht="13.5" customHeight="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6"/>
      <c r="L654" s="76"/>
    </row>
    <row r="655" ht="13.5" customHeight="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6"/>
      <c r="L655" s="76"/>
    </row>
    <row r="656" ht="13.5" customHeight="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6"/>
      <c r="L656" s="76"/>
    </row>
    <row r="657" ht="13.5" customHeight="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6"/>
      <c r="L657" s="76"/>
    </row>
    <row r="658" ht="13.5" customHeight="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6"/>
      <c r="L658" s="76"/>
    </row>
    <row r="659" ht="13.5" customHeight="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6"/>
      <c r="L659" s="76"/>
    </row>
    <row r="660" ht="13.5" customHeight="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6"/>
      <c r="L660" s="76"/>
    </row>
    <row r="661" ht="13.5" customHeight="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6"/>
      <c r="L661" s="76"/>
    </row>
    <row r="662" ht="13.5" customHeight="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6"/>
      <c r="L662" s="76"/>
    </row>
    <row r="663" ht="13.5" customHeight="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6"/>
      <c r="L663" s="76"/>
    </row>
    <row r="664" ht="13.5" customHeight="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6"/>
      <c r="L664" s="76"/>
    </row>
    <row r="665" ht="13.5" customHeight="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6"/>
      <c r="L665" s="76"/>
    </row>
    <row r="666" ht="13.5" customHeight="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6"/>
      <c r="L666" s="76"/>
    </row>
    <row r="667" ht="13.5" customHeight="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6"/>
      <c r="L667" s="76"/>
    </row>
    <row r="668" ht="13.5" customHeight="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6"/>
      <c r="L668" s="76"/>
    </row>
    <row r="669" ht="13.5" customHeight="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6"/>
      <c r="L669" s="76"/>
    </row>
    <row r="670" ht="13.5" customHeight="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6"/>
      <c r="L670" s="76"/>
    </row>
    <row r="671" ht="13.5" customHeight="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6"/>
      <c r="L671" s="76"/>
    </row>
    <row r="672" ht="13.5" customHeight="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6"/>
      <c r="L672" s="76"/>
    </row>
    <row r="673" ht="13.5" customHeight="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6"/>
      <c r="L673" s="76"/>
    </row>
    <row r="674" ht="13.5" customHeight="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6"/>
      <c r="L674" s="76"/>
    </row>
    <row r="675" ht="13.5" customHeight="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6"/>
      <c r="L675" s="76"/>
    </row>
    <row r="676" ht="13.5" customHeight="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6"/>
      <c r="L676" s="76"/>
    </row>
    <row r="677" ht="13.5" customHeight="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6"/>
      <c r="L677" s="76"/>
    </row>
    <row r="678" ht="13.5" customHeight="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6"/>
      <c r="L678" s="76"/>
    </row>
    <row r="679" ht="13.5" customHeight="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6"/>
      <c r="L679" s="76"/>
    </row>
    <row r="680" ht="13.5" customHeight="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6"/>
      <c r="L680" s="76"/>
    </row>
    <row r="681" ht="13.5" customHeight="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6"/>
      <c r="L681" s="76"/>
    </row>
    <row r="682" ht="13.5" customHeight="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6"/>
      <c r="L682" s="76"/>
    </row>
    <row r="683" ht="13.5" customHeight="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6"/>
      <c r="L683" s="76"/>
    </row>
    <row r="684" ht="13.5" customHeight="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6"/>
      <c r="L684" s="76"/>
    </row>
    <row r="685" ht="13.5" customHeight="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6"/>
      <c r="L685" s="76"/>
    </row>
    <row r="686" ht="13.5" customHeight="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6"/>
      <c r="L686" s="76"/>
    </row>
    <row r="687" ht="13.5" customHeight="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6"/>
      <c r="L687" s="76"/>
    </row>
    <row r="688" ht="13.5" customHeight="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6"/>
      <c r="L688" s="76"/>
    </row>
    <row r="689" ht="13.5" customHeight="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6"/>
      <c r="L689" s="76"/>
    </row>
    <row r="690" ht="13.5" customHeight="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6"/>
      <c r="L690" s="76"/>
    </row>
    <row r="691" ht="13.5" customHeight="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6"/>
      <c r="L691" s="76"/>
    </row>
    <row r="692" ht="13.5" customHeight="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6"/>
      <c r="L692" s="76"/>
    </row>
    <row r="693" ht="13.5" customHeight="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6"/>
      <c r="L693" s="76"/>
    </row>
    <row r="694" ht="13.5" customHeight="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6"/>
      <c r="L694" s="76"/>
    </row>
    <row r="695" ht="13.5" customHeight="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6"/>
      <c r="L695" s="76"/>
    </row>
    <row r="696" ht="13.5" customHeight="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6"/>
      <c r="L696" s="76"/>
    </row>
    <row r="697" ht="13.5" customHeight="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6"/>
      <c r="L697" s="76"/>
    </row>
    <row r="698" ht="13.5" customHeight="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6"/>
      <c r="L698" s="76"/>
    </row>
    <row r="699" ht="13.5" customHeight="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6"/>
      <c r="L699" s="76"/>
    </row>
    <row r="700" ht="13.5" customHeight="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6"/>
      <c r="L700" s="76"/>
    </row>
    <row r="701" ht="13.5" customHeight="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6"/>
      <c r="L701" s="76"/>
    </row>
    <row r="702" ht="13.5" customHeight="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6"/>
      <c r="L702" s="76"/>
    </row>
    <row r="703" ht="13.5" customHeight="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6"/>
      <c r="L703" s="76"/>
    </row>
    <row r="704" ht="13.5" customHeight="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6"/>
      <c r="L704" s="76"/>
    </row>
    <row r="705" ht="13.5" customHeight="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6"/>
      <c r="L705" s="76"/>
    </row>
    <row r="706" ht="13.5" customHeight="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6"/>
      <c r="L706" s="76"/>
    </row>
    <row r="707" ht="13.5" customHeight="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6"/>
      <c r="L707" s="76"/>
    </row>
    <row r="708" ht="13.5" customHeight="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6"/>
      <c r="L708" s="76"/>
    </row>
    <row r="709" ht="13.5" customHeight="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6"/>
      <c r="L709" s="76"/>
    </row>
    <row r="710" ht="13.5" customHeight="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6"/>
      <c r="L710" s="76"/>
    </row>
    <row r="711" ht="13.5" customHeight="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6"/>
      <c r="L711" s="76"/>
    </row>
    <row r="712" ht="13.5" customHeight="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6"/>
      <c r="L712" s="76"/>
    </row>
    <row r="713" ht="13.5" customHeight="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6"/>
      <c r="L713" s="76"/>
    </row>
    <row r="714" ht="13.5" customHeight="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6"/>
      <c r="L714" s="76"/>
    </row>
    <row r="715" ht="13.5" customHeight="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6"/>
      <c r="L715" s="76"/>
    </row>
    <row r="716" ht="13.5" customHeight="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6"/>
      <c r="L716" s="76"/>
    </row>
    <row r="717" ht="13.5" customHeight="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6"/>
      <c r="L717" s="76"/>
    </row>
    <row r="718" ht="13.5" customHeight="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6"/>
      <c r="L718" s="76"/>
    </row>
    <row r="719" ht="13.5" customHeight="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6"/>
      <c r="L719" s="76"/>
    </row>
    <row r="720" ht="13.5" customHeight="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6"/>
      <c r="L720" s="76"/>
    </row>
    <row r="721" ht="13.5" customHeight="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6"/>
      <c r="L721" s="76"/>
    </row>
    <row r="722" ht="13.5" customHeight="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6"/>
      <c r="L722" s="76"/>
    </row>
    <row r="723" ht="13.5" customHeight="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6"/>
      <c r="L723" s="76"/>
    </row>
    <row r="724" ht="13.5" customHeight="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6"/>
      <c r="L724" s="76"/>
    </row>
    <row r="725" ht="13.5" customHeight="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6"/>
      <c r="L725" s="76"/>
    </row>
    <row r="726" ht="13.5" customHeight="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6"/>
      <c r="L726" s="76"/>
    </row>
    <row r="727" ht="13.5" customHeight="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6"/>
      <c r="L727" s="76"/>
    </row>
    <row r="728" ht="13.5" customHeight="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6"/>
      <c r="L728" s="76"/>
    </row>
    <row r="729" ht="13.5" customHeight="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6"/>
      <c r="L729" s="76"/>
    </row>
    <row r="730" ht="13.5" customHeight="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6"/>
      <c r="L730" s="76"/>
    </row>
    <row r="731" ht="13.5" customHeight="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6"/>
      <c r="L731" s="76"/>
    </row>
    <row r="732" ht="13.5" customHeight="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6"/>
      <c r="L732" s="76"/>
    </row>
    <row r="733" ht="13.5" customHeight="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6"/>
      <c r="L733" s="76"/>
    </row>
    <row r="734" ht="13.5" customHeight="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6"/>
      <c r="L734" s="76"/>
    </row>
    <row r="735" ht="13.5" customHeight="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6"/>
      <c r="L735" s="76"/>
    </row>
    <row r="736" ht="13.5" customHeight="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6"/>
      <c r="L736" s="76"/>
    </row>
    <row r="737" ht="13.5" customHeight="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6"/>
      <c r="L737" s="76"/>
    </row>
    <row r="738" ht="13.5" customHeight="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6"/>
      <c r="L738" s="76"/>
    </row>
    <row r="739" ht="13.5" customHeight="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6"/>
      <c r="L739" s="76"/>
    </row>
    <row r="740" ht="13.5" customHeight="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6"/>
      <c r="L740" s="76"/>
    </row>
    <row r="741" ht="13.5" customHeight="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6"/>
      <c r="L741" s="76"/>
    </row>
    <row r="742" ht="13.5" customHeight="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6"/>
      <c r="L742" s="76"/>
    </row>
    <row r="743" ht="13.5" customHeight="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6"/>
      <c r="L743" s="76"/>
    </row>
    <row r="744" ht="13.5" customHeight="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6"/>
      <c r="L744" s="76"/>
    </row>
    <row r="745" ht="13.5" customHeight="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6"/>
      <c r="L745" s="76"/>
    </row>
    <row r="746" ht="13.5" customHeight="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6"/>
      <c r="L746" s="76"/>
    </row>
    <row r="747" ht="13.5" customHeight="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6"/>
      <c r="L747" s="76"/>
    </row>
    <row r="748" ht="13.5" customHeight="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6"/>
      <c r="L748" s="76"/>
    </row>
    <row r="749" ht="13.5" customHeight="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6"/>
      <c r="L749" s="76"/>
    </row>
    <row r="750" ht="13.5" customHeight="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6"/>
      <c r="L750" s="76"/>
    </row>
    <row r="751" ht="13.5" customHeight="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6"/>
      <c r="L751" s="76"/>
    </row>
    <row r="752" ht="13.5" customHeight="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6"/>
      <c r="L752" s="76"/>
    </row>
    <row r="753" ht="13.5" customHeight="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6"/>
      <c r="L753" s="76"/>
    </row>
    <row r="754" ht="13.5" customHeight="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6"/>
      <c r="L754" s="76"/>
    </row>
    <row r="755" ht="13.5" customHeight="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6"/>
      <c r="L755" s="76"/>
    </row>
    <row r="756" ht="13.5" customHeight="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6"/>
      <c r="L756" s="76"/>
    </row>
    <row r="757" ht="13.5" customHeight="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6"/>
      <c r="L757" s="76"/>
    </row>
    <row r="758" ht="13.5" customHeight="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6"/>
      <c r="L758" s="76"/>
    </row>
    <row r="759" ht="13.5" customHeight="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6"/>
      <c r="L759" s="76"/>
    </row>
    <row r="760" ht="13.5" customHeight="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6"/>
      <c r="L760" s="76"/>
    </row>
    <row r="761" ht="13.5" customHeight="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6"/>
      <c r="L761" s="76"/>
    </row>
    <row r="762" ht="13.5" customHeight="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6"/>
      <c r="L762" s="76"/>
    </row>
    <row r="763" ht="13.5" customHeight="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6"/>
      <c r="L763" s="76"/>
    </row>
    <row r="764" ht="13.5" customHeight="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6"/>
      <c r="L764" s="76"/>
    </row>
    <row r="765" ht="13.5" customHeight="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6"/>
      <c r="L765" s="76"/>
    </row>
    <row r="766" ht="13.5" customHeight="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6"/>
      <c r="L766" s="76"/>
    </row>
    <row r="767" ht="13.5" customHeight="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6"/>
      <c r="L767" s="76"/>
    </row>
    <row r="768" ht="13.5" customHeight="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6"/>
      <c r="L768" s="76"/>
    </row>
    <row r="769" ht="13.5" customHeight="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6"/>
      <c r="L769" s="76"/>
    </row>
    <row r="770" ht="13.5" customHeight="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6"/>
      <c r="L770" s="76"/>
    </row>
    <row r="771" ht="13.5" customHeight="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6"/>
      <c r="L771" s="76"/>
    </row>
    <row r="772" ht="13.5" customHeight="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6"/>
      <c r="L772" s="76"/>
    </row>
    <row r="773" ht="13.5" customHeight="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6"/>
      <c r="L773" s="76"/>
    </row>
    <row r="774" ht="13.5" customHeight="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6"/>
      <c r="L774" s="76"/>
    </row>
    <row r="775" ht="13.5" customHeight="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6"/>
      <c r="L775" s="76"/>
    </row>
    <row r="776" ht="13.5" customHeight="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6"/>
      <c r="L776" s="76"/>
    </row>
    <row r="777" ht="13.5" customHeight="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6"/>
      <c r="L777" s="76"/>
    </row>
    <row r="778" ht="13.5" customHeight="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6"/>
      <c r="L778" s="76"/>
    </row>
    <row r="779" ht="13.5" customHeight="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6"/>
      <c r="L779" s="76"/>
    </row>
    <row r="780" ht="13.5" customHeight="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6"/>
      <c r="L780" s="76"/>
    </row>
    <row r="781" ht="13.5" customHeight="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6"/>
      <c r="L781" s="76"/>
    </row>
    <row r="782" ht="13.5" customHeight="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6"/>
      <c r="L782" s="76"/>
    </row>
    <row r="783" ht="13.5" customHeight="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6"/>
      <c r="L783" s="76"/>
    </row>
    <row r="784" ht="13.5" customHeight="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6"/>
      <c r="L784" s="76"/>
    </row>
    <row r="785" ht="13.5" customHeight="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6"/>
      <c r="L785" s="76"/>
    </row>
    <row r="786" ht="13.5" customHeight="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6"/>
      <c r="L786" s="76"/>
    </row>
    <row r="787" ht="13.5" customHeight="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6"/>
      <c r="L787" s="76"/>
    </row>
    <row r="788" ht="13.5" customHeight="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6"/>
      <c r="L788" s="76"/>
    </row>
    <row r="789" ht="13.5" customHeight="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6"/>
      <c r="L789" s="76"/>
    </row>
    <row r="790" ht="13.5" customHeight="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6"/>
      <c r="L790" s="76"/>
    </row>
    <row r="791" ht="13.5" customHeight="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6"/>
      <c r="L791" s="76"/>
    </row>
    <row r="792" ht="13.5" customHeight="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6"/>
      <c r="L792" s="76"/>
    </row>
    <row r="793" ht="13.5" customHeight="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6"/>
      <c r="L793" s="76"/>
    </row>
    <row r="794" ht="13.5" customHeight="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6"/>
      <c r="L794" s="76"/>
    </row>
    <row r="795" ht="13.5" customHeight="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6"/>
      <c r="L795" s="76"/>
    </row>
    <row r="796" ht="13.5" customHeight="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6"/>
      <c r="L796" s="76"/>
    </row>
    <row r="797" ht="13.5" customHeight="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6"/>
      <c r="L797" s="76"/>
    </row>
    <row r="798" ht="13.5" customHeight="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6"/>
      <c r="L798" s="76"/>
    </row>
    <row r="799" ht="13.5" customHeight="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6"/>
      <c r="L799" s="76"/>
    </row>
    <row r="800" ht="13.5" customHeight="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6"/>
      <c r="L800" s="76"/>
    </row>
    <row r="801" ht="13.5" customHeight="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6"/>
      <c r="L801" s="76"/>
    </row>
    <row r="802" ht="13.5" customHeight="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6"/>
      <c r="L802" s="76"/>
    </row>
    <row r="803" ht="13.5" customHeight="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6"/>
      <c r="L803" s="76"/>
    </row>
    <row r="804" ht="13.5" customHeight="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6"/>
      <c r="L804" s="76"/>
    </row>
    <row r="805" ht="13.5" customHeight="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6"/>
      <c r="L805" s="76"/>
    </row>
    <row r="806" ht="13.5" customHeight="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6"/>
      <c r="L806" s="76"/>
    </row>
    <row r="807" ht="13.5" customHeight="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6"/>
      <c r="L807" s="76"/>
    </row>
    <row r="808" ht="13.5" customHeight="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6"/>
      <c r="L808" s="76"/>
    </row>
    <row r="809" ht="13.5" customHeight="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6"/>
      <c r="L809" s="76"/>
    </row>
    <row r="810" ht="13.5" customHeight="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6"/>
      <c r="L810" s="76"/>
    </row>
    <row r="811" ht="13.5" customHeight="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6"/>
      <c r="L811" s="76"/>
    </row>
    <row r="812" ht="13.5" customHeight="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6"/>
      <c r="L812" s="76"/>
    </row>
    <row r="813" ht="13.5" customHeight="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6"/>
      <c r="L813" s="76"/>
    </row>
    <row r="814" ht="13.5" customHeight="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6"/>
      <c r="L814" s="76"/>
    </row>
    <row r="815" ht="13.5" customHeight="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6"/>
      <c r="L815" s="76"/>
    </row>
    <row r="816" ht="13.5" customHeight="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6"/>
      <c r="L816" s="76"/>
    </row>
    <row r="817" ht="13.5" customHeight="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6"/>
      <c r="L817" s="76"/>
    </row>
    <row r="818" ht="13.5" customHeight="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6"/>
      <c r="L818" s="76"/>
    </row>
    <row r="819" ht="13.5" customHeight="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6"/>
      <c r="L819" s="76"/>
    </row>
    <row r="820" ht="13.5" customHeight="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6"/>
      <c r="L820" s="76"/>
    </row>
    <row r="821" ht="13.5" customHeight="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6"/>
      <c r="L821" s="76"/>
    </row>
    <row r="822" ht="13.5" customHeight="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6"/>
      <c r="L822" s="76"/>
    </row>
    <row r="823" ht="13.5" customHeight="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6"/>
      <c r="L823" s="76"/>
    </row>
    <row r="824" ht="13.5" customHeight="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6"/>
      <c r="L824" s="76"/>
    </row>
    <row r="825" ht="13.5" customHeight="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6"/>
      <c r="L825" s="76"/>
    </row>
    <row r="826" ht="13.5" customHeight="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6"/>
      <c r="L826" s="76"/>
    </row>
    <row r="827" ht="13.5" customHeight="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6"/>
      <c r="L827" s="76"/>
    </row>
    <row r="828" ht="13.5" customHeight="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6"/>
      <c r="L828" s="76"/>
    </row>
    <row r="829" ht="13.5" customHeight="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6"/>
      <c r="L829" s="76"/>
    </row>
    <row r="830" ht="13.5" customHeight="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6"/>
      <c r="L830" s="76"/>
    </row>
    <row r="831" ht="13.5" customHeight="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6"/>
      <c r="L831" s="76"/>
    </row>
    <row r="832" ht="13.5" customHeight="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6"/>
      <c r="L832" s="76"/>
    </row>
    <row r="833" ht="13.5" customHeight="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6"/>
      <c r="L833" s="76"/>
    </row>
    <row r="834" ht="13.5" customHeight="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6"/>
      <c r="L834" s="76"/>
    </row>
    <row r="835" ht="13.5" customHeight="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6"/>
      <c r="L835" s="76"/>
    </row>
    <row r="836" ht="13.5" customHeight="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6"/>
      <c r="L836" s="76"/>
    </row>
    <row r="837" ht="13.5" customHeight="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6"/>
      <c r="L837" s="76"/>
    </row>
    <row r="838" ht="13.5" customHeight="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6"/>
      <c r="L838" s="76"/>
    </row>
    <row r="839" ht="13.5" customHeight="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6"/>
      <c r="L839" s="76"/>
    </row>
    <row r="840" ht="13.5" customHeight="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6"/>
      <c r="L840" s="76"/>
    </row>
    <row r="841" ht="13.5" customHeight="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6"/>
      <c r="L841" s="76"/>
    </row>
    <row r="842" ht="13.5" customHeight="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6"/>
      <c r="L842" s="76"/>
    </row>
    <row r="843" ht="13.5" customHeight="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6"/>
      <c r="L843" s="76"/>
    </row>
    <row r="844" ht="13.5" customHeight="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6"/>
      <c r="L844" s="76"/>
    </row>
    <row r="845" ht="13.5" customHeight="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6"/>
      <c r="L845" s="76"/>
    </row>
    <row r="846" ht="13.5" customHeight="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6"/>
      <c r="L846" s="76"/>
    </row>
    <row r="847" ht="13.5" customHeight="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6"/>
      <c r="L847" s="76"/>
    </row>
    <row r="848" ht="13.5" customHeight="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6"/>
      <c r="L848" s="76"/>
    </row>
    <row r="849" ht="13.5" customHeight="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6"/>
      <c r="L849" s="76"/>
    </row>
    <row r="850" ht="13.5" customHeight="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6"/>
      <c r="L850" s="76"/>
    </row>
    <row r="851" ht="13.5" customHeight="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6"/>
      <c r="L851" s="76"/>
    </row>
    <row r="852" ht="13.5" customHeight="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6"/>
      <c r="L852" s="76"/>
    </row>
    <row r="853" ht="13.5" customHeight="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6"/>
      <c r="L853" s="76"/>
    </row>
    <row r="854" ht="13.5" customHeight="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6"/>
      <c r="L854" s="76"/>
    </row>
    <row r="855" ht="13.5" customHeight="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6"/>
      <c r="L855" s="76"/>
    </row>
    <row r="856" ht="13.5" customHeight="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6"/>
      <c r="L856" s="76"/>
    </row>
    <row r="857" ht="13.5" customHeight="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6"/>
      <c r="L857" s="76"/>
    </row>
    <row r="858" ht="13.5" customHeight="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6"/>
      <c r="L858" s="76"/>
    </row>
    <row r="859" ht="13.5" customHeight="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6"/>
      <c r="L859" s="76"/>
    </row>
    <row r="860" ht="13.5" customHeight="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6"/>
      <c r="L860" s="76"/>
    </row>
    <row r="861" ht="13.5" customHeight="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6"/>
      <c r="L861" s="76"/>
    </row>
    <row r="862" ht="13.5" customHeight="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6"/>
      <c r="L862" s="76"/>
    </row>
    <row r="863" ht="13.5" customHeight="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6"/>
      <c r="L863" s="76"/>
    </row>
    <row r="864" ht="13.5" customHeight="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6"/>
      <c r="L864" s="76"/>
    </row>
    <row r="865" ht="13.5" customHeight="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6"/>
      <c r="L865" s="76"/>
    </row>
    <row r="866" ht="13.5" customHeight="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6"/>
      <c r="L866" s="76"/>
    </row>
    <row r="867" ht="13.5" customHeight="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6"/>
      <c r="L867" s="76"/>
    </row>
    <row r="868" ht="13.5" customHeight="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6"/>
      <c r="L868" s="76"/>
    </row>
    <row r="869" ht="13.5" customHeight="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6"/>
      <c r="L869" s="76"/>
    </row>
    <row r="870" ht="13.5" customHeight="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6"/>
      <c r="L870" s="76"/>
    </row>
    <row r="871" ht="13.5" customHeight="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6"/>
      <c r="L871" s="76"/>
    </row>
    <row r="872" ht="13.5" customHeight="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6"/>
      <c r="L872" s="76"/>
    </row>
    <row r="873" ht="13.5" customHeight="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6"/>
      <c r="L873" s="76"/>
    </row>
    <row r="874" ht="13.5" customHeight="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6"/>
      <c r="L874" s="76"/>
    </row>
    <row r="875" ht="13.5" customHeight="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6"/>
      <c r="L875" s="76"/>
    </row>
    <row r="876" ht="13.5" customHeight="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6"/>
      <c r="L876" s="76"/>
    </row>
    <row r="877" ht="13.5" customHeight="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6"/>
      <c r="L877" s="76"/>
    </row>
    <row r="878" ht="13.5" customHeight="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6"/>
      <c r="L878" s="76"/>
    </row>
    <row r="879" ht="13.5" customHeight="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6"/>
      <c r="L879" s="76"/>
    </row>
    <row r="880" ht="13.5" customHeight="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6"/>
      <c r="L880" s="76"/>
    </row>
    <row r="881" ht="13.5" customHeight="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6"/>
      <c r="L881" s="76"/>
    </row>
    <row r="882" ht="13.5" customHeight="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6"/>
      <c r="L882" s="76"/>
    </row>
    <row r="883" ht="13.5" customHeight="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6"/>
      <c r="L883" s="76"/>
    </row>
    <row r="884" ht="13.5" customHeight="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6"/>
      <c r="L884" s="76"/>
    </row>
    <row r="885" ht="13.5" customHeight="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6"/>
      <c r="L885" s="76"/>
    </row>
    <row r="886" ht="13.5" customHeight="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6"/>
      <c r="L886" s="76"/>
    </row>
    <row r="887" ht="13.5" customHeight="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6"/>
      <c r="L887" s="76"/>
    </row>
    <row r="888" ht="13.5" customHeight="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6"/>
      <c r="L888" s="76"/>
    </row>
    <row r="889" ht="13.5" customHeight="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6"/>
      <c r="L889" s="76"/>
    </row>
    <row r="890" ht="13.5" customHeight="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6"/>
      <c r="L890" s="76"/>
    </row>
    <row r="891" ht="13.5" customHeight="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6"/>
      <c r="L891" s="76"/>
    </row>
    <row r="892" ht="13.5" customHeight="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6"/>
      <c r="L892" s="76"/>
    </row>
    <row r="893" ht="13.5" customHeight="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6"/>
      <c r="L893" s="76"/>
    </row>
    <row r="894" ht="13.5" customHeight="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6"/>
      <c r="L894" s="76"/>
    </row>
    <row r="895" ht="13.5" customHeight="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6"/>
      <c r="L895" s="76"/>
    </row>
    <row r="896" ht="13.5" customHeight="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6"/>
      <c r="L896" s="76"/>
    </row>
    <row r="897" ht="13.5" customHeight="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6"/>
      <c r="L897" s="76"/>
    </row>
    <row r="898" ht="13.5" customHeight="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6"/>
      <c r="L898" s="76"/>
    </row>
    <row r="899" ht="13.5" customHeight="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6"/>
      <c r="L899" s="76"/>
    </row>
    <row r="900" ht="13.5" customHeight="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6"/>
      <c r="L900" s="76"/>
    </row>
    <row r="901" ht="13.5" customHeight="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6"/>
      <c r="L901" s="76"/>
    </row>
    <row r="902" ht="13.5" customHeight="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6"/>
      <c r="L902" s="76"/>
    </row>
    <row r="903" ht="13.5" customHeight="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6"/>
      <c r="L903" s="76"/>
    </row>
    <row r="904" ht="13.5" customHeight="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6"/>
      <c r="L904" s="76"/>
    </row>
    <row r="905" ht="13.5" customHeight="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6"/>
      <c r="L905" s="76"/>
    </row>
    <row r="906" ht="13.5" customHeight="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6"/>
      <c r="L906" s="76"/>
    </row>
    <row r="907" ht="13.5" customHeight="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6"/>
      <c r="L907" s="76"/>
    </row>
    <row r="908" ht="13.5" customHeight="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6"/>
      <c r="L908" s="76"/>
    </row>
    <row r="909" ht="13.5" customHeight="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6"/>
      <c r="L909" s="76"/>
    </row>
    <row r="910" ht="13.5" customHeight="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6"/>
      <c r="L910" s="76"/>
    </row>
    <row r="911" ht="13.5" customHeight="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6"/>
      <c r="L911" s="76"/>
    </row>
    <row r="912" ht="13.5" customHeight="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6"/>
      <c r="L912" s="76"/>
    </row>
    <row r="913" ht="13.5" customHeight="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6"/>
      <c r="L913" s="76"/>
    </row>
    <row r="914" ht="13.5" customHeight="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6"/>
      <c r="L914" s="76"/>
    </row>
    <row r="915" ht="13.5" customHeight="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6"/>
      <c r="L915" s="76"/>
    </row>
    <row r="916" ht="13.5" customHeight="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6"/>
      <c r="L916" s="76"/>
    </row>
    <row r="917" ht="13.5" customHeight="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6"/>
      <c r="L917" s="76"/>
    </row>
    <row r="918" ht="13.5" customHeight="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6"/>
      <c r="L918" s="76"/>
    </row>
    <row r="919" ht="13.5" customHeight="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6"/>
      <c r="L919" s="76"/>
    </row>
    <row r="920" ht="13.5" customHeight="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6"/>
      <c r="L920" s="76"/>
    </row>
    <row r="921" ht="13.5" customHeight="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6"/>
      <c r="L921" s="76"/>
    </row>
    <row r="922" ht="13.5" customHeight="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6"/>
      <c r="L922" s="76"/>
    </row>
    <row r="923" ht="13.5" customHeight="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6"/>
      <c r="L923" s="76"/>
    </row>
    <row r="924" ht="13.5" customHeight="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6"/>
      <c r="L924" s="76"/>
    </row>
    <row r="925" ht="13.5" customHeight="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6"/>
      <c r="L925" s="76"/>
    </row>
    <row r="926" ht="13.5" customHeight="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6"/>
      <c r="L926" s="76"/>
    </row>
    <row r="927" ht="13.5" customHeight="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6"/>
      <c r="L927" s="76"/>
    </row>
    <row r="928" ht="13.5" customHeight="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6"/>
      <c r="L928" s="76"/>
    </row>
    <row r="929" ht="13.5" customHeight="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6"/>
      <c r="L929" s="76"/>
    </row>
    <row r="930" ht="13.5" customHeight="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6"/>
      <c r="L930" s="76"/>
    </row>
    <row r="931" ht="13.5" customHeight="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6"/>
      <c r="L931" s="76"/>
    </row>
    <row r="932" ht="13.5" customHeight="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6"/>
      <c r="L932" s="76"/>
    </row>
    <row r="933" ht="13.5" customHeight="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6"/>
      <c r="L933" s="76"/>
    </row>
    <row r="934" ht="13.5" customHeight="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6"/>
      <c r="L934" s="76"/>
    </row>
    <row r="935" ht="13.5" customHeight="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6"/>
      <c r="L935" s="76"/>
    </row>
    <row r="936" ht="13.5" customHeight="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6"/>
      <c r="L936" s="76"/>
    </row>
    <row r="937" ht="13.5" customHeight="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6"/>
      <c r="L937" s="76"/>
    </row>
    <row r="938" ht="13.5" customHeight="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6"/>
      <c r="L938" s="76"/>
    </row>
    <row r="939" ht="13.5" customHeight="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6"/>
      <c r="L939" s="76"/>
    </row>
    <row r="940" ht="13.5" customHeight="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6"/>
      <c r="L940" s="76"/>
    </row>
    <row r="941" ht="13.5" customHeight="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6"/>
      <c r="L941" s="76"/>
    </row>
    <row r="942" ht="13.5" customHeight="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6"/>
      <c r="L942" s="76"/>
    </row>
    <row r="943" ht="13.5" customHeight="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6"/>
      <c r="L943" s="76"/>
    </row>
    <row r="944" ht="13.5" customHeight="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6"/>
      <c r="L944" s="76"/>
    </row>
    <row r="945" ht="13.5" customHeight="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6"/>
      <c r="L945" s="76"/>
    </row>
    <row r="946" ht="13.5" customHeight="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6"/>
      <c r="L946" s="76"/>
    </row>
    <row r="947" ht="13.5" customHeight="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6"/>
      <c r="L947" s="76"/>
    </row>
    <row r="948" ht="13.5" customHeight="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6"/>
      <c r="L948" s="76"/>
    </row>
    <row r="949" ht="13.5" customHeight="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6"/>
      <c r="L949" s="76"/>
    </row>
    <row r="950" ht="13.5" customHeight="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6"/>
      <c r="L950" s="76"/>
    </row>
    <row r="951" ht="13.5" customHeight="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6"/>
      <c r="L951" s="76"/>
    </row>
    <row r="952" ht="13.5" customHeight="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6"/>
      <c r="L952" s="76"/>
    </row>
    <row r="953" ht="13.5" customHeight="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6"/>
      <c r="L953" s="76"/>
    </row>
    <row r="954" ht="13.5" customHeight="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6"/>
      <c r="L954" s="76"/>
    </row>
    <row r="955" ht="13.5" customHeight="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6"/>
      <c r="L955" s="76"/>
    </row>
    <row r="956" ht="13.5" customHeight="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6"/>
      <c r="L956" s="76"/>
    </row>
    <row r="957" ht="13.5" customHeight="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6"/>
      <c r="L957" s="76"/>
    </row>
    <row r="958" ht="13.5" customHeight="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6"/>
      <c r="L958" s="76"/>
    </row>
    <row r="959" ht="13.5" customHeight="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6"/>
      <c r="L959" s="76"/>
    </row>
    <row r="960" ht="13.5" customHeight="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6"/>
      <c r="L960" s="76"/>
    </row>
    <row r="961" ht="13.5" customHeight="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6"/>
      <c r="L961" s="76"/>
    </row>
    <row r="962" ht="13.5" customHeight="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6"/>
      <c r="L962" s="76"/>
    </row>
    <row r="963" ht="13.5" customHeight="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6"/>
      <c r="L963" s="76"/>
    </row>
    <row r="964" ht="13.5" customHeight="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6"/>
      <c r="L964" s="76"/>
    </row>
    <row r="965" ht="13.5" customHeight="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6"/>
      <c r="L965" s="76"/>
    </row>
    <row r="966" ht="13.5" customHeight="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6"/>
      <c r="L966" s="76"/>
    </row>
    <row r="967" ht="13.5" customHeight="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6"/>
      <c r="L967" s="76"/>
    </row>
    <row r="968" ht="13.5" customHeight="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6"/>
      <c r="L968" s="76"/>
    </row>
    <row r="969" ht="13.5" customHeight="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6"/>
      <c r="L969" s="76"/>
    </row>
    <row r="970" ht="13.5" customHeight="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6"/>
      <c r="L970" s="76"/>
    </row>
    <row r="971" ht="13.5" customHeight="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6"/>
      <c r="L971" s="76"/>
    </row>
    <row r="972" ht="13.5" customHeight="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6"/>
      <c r="L972" s="76"/>
    </row>
    <row r="973" ht="13.5" customHeight="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6"/>
      <c r="L973" s="76"/>
    </row>
    <row r="974" ht="13.5" customHeight="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6"/>
      <c r="L974" s="76"/>
    </row>
    <row r="975" ht="13.5" customHeight="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6"/>
      <c r="L975" s="76"/>
    </row>
  </sheetData>
  <conditionalFormatting sqref="J7:J76">
    <cfRule type="cellIs" dxfId="0" priority="1" stopIfTrue="1" operator="between">
      <formula>6</formula>
      <formula>9</formula>
    </cfRule>
  </conditionalFormatting>
  <conditionalFormatting sqref="J7:J76">
    <cfRule type="cellIs" dxfId="1" priority="2" stopIfTrue="1" operator="between">
      <formula>3</formula>
      <formula>4</formula>
    </cfRule>
  </conditionalFormatting>
  <conditionalFormatting sqref="J7:J76">
    <cfRule type="cellIs" dxfId="2" priority="3" operator="between">
      <formula>1</formula>
      <formula>2</formula>
    </cfRule>
  </conditionalFormatting>
  <conditionalFormatting sqref="J8:J13 J15:J16 J18:J76">
    <cfRule type="cellIs" dxfId="0" priority="4" stopIfTrue="1" operator="between">
      <formula>6</formula>
      <formula>9</formula>
    </cfRule>
  </conditionalFormatting>
  <conditionalFormatting sqref="J8:J13 J15:J16 J18:J76">
    <cfRule type="cellIs" dxfId="1" priority="5" stopIfTrue="1" operator="between">
      <formula>3</formula>
      <formula>4</formula>
    </cfRule>
  </conditionalFormatting>
  <conditionalFormatting sqref="J8:J13 J15:J16 J18:J76">
    <cfRule type="cellIs" dxfId="2" priority="6" operator="between">
      <formula>1</formula>
      <formula>2</formula>
    </cfRule>
  </conditionalFormatting>
  <conditionalFormatting sqref="J14">
    <cfRule type="cellIs" dxfId="0" priority="7" stopIfTrue="1" operator="between">
      <formula>6</formula>
      <formula>9</formula>
    </cfRule>
  </conditionalFormatting>
  <conditionalFormatting sqref="J14">
    <cfRule type="cellIs" dxfId="1" priority="8" stopIfTrue="1" operator="between">
      <formula>3</formula>
      <formula>4</formula>
    </cfRule>
  </conditionalFormatting>
  <conditionalFormatting sqref="J14">
    <cfRule type="cellIs" dxfId="3" priority="9" stopIfTrue="1" operator="between">
      <formula>1</formula>
      <formula>2</formula>
    </cfRule>
  </conditionalFormatting>
  <conditionalFormatting sqref="J17">
    <cfRule type="cellIs" dxfId="0" priority="10" stopIfTrue="1" operator="between">
      <formula>6</formula>
      <formula>9</formula>
    </cfRule>
  </conditionalFormatting>
  <conditionalFormatting sqref="J17">
    <cfRule type="cellIs" dxfId="1" priority="11" stopIfTrue="1" operator="between">
      <formula>3</formula>
      <formula>4</formula>
    </cfRule>
  </conditionalFormatting>
  <conditionalFormatting sqref="J17">
    <cfRule type="cellIs" dxfId="3" priority="12" stopIfTrue="1" operator="between">
      <formula>1</formula>
      <formula>2</formula>
    </cfRule>
  </conditionalFormatting>
  <conditionalFormatting sqref="F7:F58 G7:G76 I7:I76">
    <cfRule type="cellIs" dxfId="4" priority="13" operator="equal">
      <formula>1</formula>
    </cfRule>
  </conditionalFormatting>
  <conditionalFormatting sqref="F7:F58 G7:G76 I7:I76">
    <cfRule type="cellIs" dxfId="5" priority="14" operator="equal">
      <formula>2</formula>
    </cfRule>
  </conditionalFormatting>
  <conditionalFormatting sqref="F7:F58 G7:G76 I7:I76">
    <cfRule type="cellIs" dxfId="6" priority="15" operator="equal">
      <formula>3</formula>
    </cfRule>
  </conditionalFormatting>
  <dataValidations>
    <dataValidation type="list" allowBlank="1" showErrorMessage="1" sqref="E7:E74 H7:H76">
      <formula1>"Bajo,Medio,Alto"</formula1>
    </dataValidation>
  </dataValidations>
  <printOptions/>
  <pageMargins bottom="0.0" footer="0.0" header="0.0" left="0.0" right="0.0" top="0.984251968503937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23.75"/>
    <col customWidth="1" min="3" max="3" width="18.13"/>
    <col customWidth="1" min="4" max="4" width="9.0"/>
    <col customWidth="1" min="5" max="5" width="19.75"/>
    <col customWidth="1" min="6" max="6" width="18.38"/>
    <col customWidth="1" min="9" max="9" width="17.0"/>
    <col customWidth="1" min="12" max="12" width="16.13"/>
    <col customWidth="1" min="13" max="13" width="20.0"/>
  </cols>
  <sheetData>
    <row r="5">
      <c r="B5" s="85"/>
      <c r="D5" s="85" t="s">
        <v>195</v>
      </c>
      <c r="E5" s="85" t="s">
        <v>196</v>
      </c>
      <c r="F5" s="85" t="s">
        <v>197</v>
      </c>
      <c r="G5" s="85" t="s">
        <v>198</v>
      </c>
    </row>
    <row r="6">
      <c r="D6" s="85" t="s">
        <v>199</v>
      </c>
      <c r="E6" s="85" t="s">
        <v>200</v>
      </c>
      <c r="F6" s="85" t="s">
        <v>201</v>
      </c>
      <c r="G6" s="85" t="s">
        <v>202</v>
      </c>
    </row>
    <row r="7">
      <c r="E7" s="85" t="s">
        <v>203</v>
      </c>
      <c r="F7" s="85" t="s">
        <v>204</v>
      </c>
      <c r="G7" s="85" t="s">
        <v>205</v>
      </c>
    </row>
    <row r="8">
      <c r="E8" s="85" t="s">
        <v>206</v>
      </c>
      <c r="F8" s="85" t="s">
        <v>207</v>
      </c>
      <c r="G8" s="85" t="s">
        <v>208</v>
      </c>
      <c r="L8" s="85" t="s">
        <v>209</v>
      </c>
      <c r="M8" s="85" t="s">
        <v>210</v>
      </c>
    </row>
    <row r="9">
      <c r="L9" s="85" t="s">
        <v>211</v>
      </c>
      <c r="M9" s="85" t="s">
        <v>212</v>
      </c>
    </row>
    <row r="10">
      <c r="L10" s="85" t="s">
        <v>213</v>
      </c>
      <c r="M10" s="85" t="s">
        <v>214</v>
      </c>
    </row>
    <row r="11">
      <c r="L11" s="85" t="s">
        <v>215</v>
      </c>
      <c r="M11" s="85" t="s">
        <v>216</v>
      </c>
    </row>
    <row r="13">
      <c r="A13" s="85" t="s">
        <v>217</v>
      </c>
      <c r="B13" s="85" t="s">
        <v>195</v>
      </c>
      <c r="E13" s="85" t="s">
        <v>218</v>
      </c>
      <c r="I13" s="85" t="s">
        <v>218</v>
      </c>
    </row>
    <row r="14">
      <c r="A14" s="85" t="s">
        <v>217</v>
      </c>
      <c r="B14" s="85" t="s">
        <v>196</v>
      </c>
      <c r="E14" s="85" t="s">
        <v>219</v>
      </c>
      <c r="I14" s="85" t="s">
        <v>219</v>
      </c>
      <c r="P14" s="72" t="s">
        <v>220</v>
      </c>
    </row>
    <row r="15">
      <c r="A15" s="85" t="s">
        <v>217</v>
      </c>
      <c r="B15" s="85" t="s">
        <v>197</v>
      </c>
      <c r="E15" s="85" t="s">
        <v>221</v>
      </c>
      <c r="I15" s="85" t="s">
        <v>221</v>
      </c>
      <c r="P15" s="72" t="s">
        <v>222</v>
      </c>
    </row>
    <row r="16">
      <c r="A16" s="85" t="s">
        <v>217</v>
      </c>
      <c r="B16" s="85" t="s">
        <v>198</v>
      </c>
      <c r="E16" s="85" t="s">
        <v>223</v>
      </c>
      <c r="I16" s="85" t="s">
        <v>223</v>
      </c>
      <c r="P16" s="72" t="s">
        <v>224</v>
      </c>
    </row>
    <row r="17">
      <c r="A17" s="85" t="s">
        <v>217</v>
      </c>
      <c r="B17" s="85" t="s">
        <v>225</v>
      </c>
      <c r="E17" s="85" t="s">
        <v>226</v>
      </c>
      <c r="I17" s="85" t="s">
        <v>226</v>
      </c>
    </row>
    <row r="18">
      <c r="A18" s="85" t="s">
        <v>227</v>
      </c>
      <c r="B18" s="85" t="s">
        <v>228</v>
      </c>
      <c r="E18" s="85" t="s">
        <v>229</v>
      </c>
      <c r="I18" s="85" t="s">
        <v>229</v>
      </c>
    </row>
    <row r="19">
      <c r="A19" s="85" t="s">
        <v>227</v>
      </c>
      <c r="B19" s="85" t="s">
        <v>199</v>
      </c>
      <c r="E19" s="85" t="s">
        <v>230</v>
      </c>
      <c r="I19" s="85" t="s">
        <v>230</v>
      </c>
    </row>
    <row r="20">
      <c r="A20" s="85" t="s">
        <v>227</v>
      </c>
      <c r="B20" s="85" t="s">
        <v>200</v>
      </c>
      <c r="E20" s="85" t="s">
        <v>231</v>
      </c>
      <c r="I20" s="85" t="s">
        <v>231</v>
      </c>
    </row>
    <row r="21">
      <c r="A21" s="85" t="s">
        <v>227</v>
      </c>
      <c r="B21" s="85" t="s">
        <v>201</v>
      </c>
    </row>
    <row r="22">
      <c r="A22" s="85" t="s">
        <v>227</v>
      </c>
      <c r="B22" s="85" t="s">
        <v>202</v>
      </c>
      <c r="E22" s="85" t="s">
        <v>230</v>
      </c>
      <c r="F22" s="85" t="s">
        <v>218</v>
      </c>
    </row>
    <row r="23">
      <c r="A23" s="85" t="s">
        <v>232</v>
      </c>
      <c r="B23" s="85" t="s">
        <v>233</v>
      </c>
      <c r="E23" s="85" t="s">
        <v>230</v>
      </c>
      <c r="F23" s="85" t="s">
        <v>219</v>
      </c>
    </row>
    <row r="24">
      <c r="A24" s="85" t="s">
        <v>232</v>
      </c>
      <c r="B24" s="85" t="s">
        <v>203</v>
      </c>
      <c r="E24" s="85" t="s">
        <v>230</v>
      </c>
      <c r="F24" s="85" t="s">
        <v>221</v>
      </c>
    </row>
    <row r="25">
      <c r="A25" s="85" t="s">
        <v>232</v>
      </c>
      <c r="B25" s="85" t="s">
        <v>204</v>
      </c>
      <c r="E25" s="85" t="s">
        <v>230</v>
      </c>
      <c r="F25" s="85" t="s">
        <v>223</v>
      </c>
    </row>
    <row r="26">
      <c r="A26" s="85" t="s">
        <v>232</v>
      </c>
      <c r="B26" s="85" t="s">
        <v>205</v>
      </c>
      <c r="E26" s="85" t="s">
        <v>230</v>
      </c>
      <c r="F26" s="85" t="s">
        <v>226</v>
      </c>
    </row>
    <row r="27">
      <c r="A27" s="85" t="s">
        <v>234</v>
      </c>
      <c r="B27" s="85" t="s">
        <v>235</v>
      </c>
      <c r="E27" s="85" t="s">
        <v>231</v>
      </c>
      <c r="F27" s="85" t="s">
        <v>218</v>
      </c>
    </row>
    <row r="28">
      <c r="A28" s="85" t="s">
        <v>234</v>
      </c>
      <c r="B28" s="85" t="s">
        <v>206</v>
      </c>
      <c r="E28" s="85" t="s">
        <v>231</v>
      </c>
      <c r="F28" s="85" t="s">
        <v>219</v>
      </c>
    </row>
    <row r="29">
      <c r="A29" s="85" t="s">
        <v>234</v>
      </c>
      <c r="B29" s="85" t="s">
        <v>207</v>
      </c>
      <c r="E29" s="85" t="s">
        <v>231</v>
      </c>
      <c r="F29" s="85" t="s">
        <v>221</v>
      </c>
    </row>
    <row r="30">
      <c r="A30" s="85" t="s">
        <v>234</v>
      </c>
      <c r="B30" s="85" t="s">
        <v>208</v>
      </c>
      <c r="E30" s="85" t="s">
        <v>231</v>
      </c>
      <c r="F30" s="85" t="s">
        <v>223</v>
      </c>
    </row>
    <row r="31">
      <c r="E31" s="85" t="s">
        <v>231</v>
      </c>
      <c r="F31" s="85" t="s">
        <v>226</v>
      </c>
    </row>
    <row r="32">
      <c r="E32" s="85" t="s">
        <v>218</v>
      </c>
      <c r="F32" s="85" t="s">
        <v>236</v>
      </c>
    </row>
    <row r="33">
      <c r="E33" s="85" t="s">
        <v>219</v>
      </c>
      <c r="F33" s="85" t="s">
        <v>236</v>
      </c>
    </row>
    <row r="34">
      <c r="E34" s="85" t="s">
        <v>221</v>
      </c>
      <c r="F34" s="85" t="s">
        <v>236</v>
      </c>
    </row>
    <row r="35">
      <c r="E35" s="85" t="s">
        <v>223</v>
      </c>
      <c r="F35" s="85" t="s">
        <v>236</v>
      </c>
    </row>
    <row r="36">
      <c r="E36" s="85" t="s">
        <v>226</v>
      </c>
      <c r="F36" s="85" t="s">
        <v>236</v>
      </c>
    </row>
    <row r="37">
      <c r="E37" s="85" t="s">
        <v>229</v>
      </c>
      <c r="F37" s="85" t="s">
        <v>236</v>
      </c>
    </row>
  </sheetData>
  <dataValidations>
    <dataValidation type="list" allowBlank="1" showErrorMessage="1" sqref="B5">
      <formula1>Categorias!$A$13:$A$30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4" max="4" width="15.88"/>
    <col customWidth="1" min="6" max="6" width="12.75"/>
    <col customWidth="1" min="7" max="7" width="15.75"/>
    <col customWidth="1" min="8" max="8" width="12.75"/>
    <col customWidth="1" min="10" max="10" width="15.75"/>
    <col customWidth="1" min="14" max="16" width="12.75"/>
    <col customWidth="1" min="17" max="17" width="16.0"/>
    <col customWidth="1" min="19" max="19" width="15.5"/>
    <col customWidth="1" min="23" max="23" width="48.25"/>
  </cols>
  <sheetData>
    <row r="1">
      <c r="A1" s="86" t="s">
        <v>40</v>
      </c>
      <c r="B1" s="87" t="s">
        <v>41</v>
      </c>
      <c r="C1" s="87" t="s">
        <v>42</v>
      </c>
      <c r="D1" s="87" t="s">
        <v>237</v>
      </c>
      <c r="E1" s="87" t="s">
        <v>238</v>
      </c>
      <c r="F1" s="87" t="s">
        <v>43</v>
      </c>
      <c r="G1" s="87" t="s">
        <v>28</v>
      </c>
      <c r="H1" s="87" t="s">
        <v>44</v>
      </c>
      <c r="I1" s="87" t="s">
        <v>45</v>
      </c>
      <c r="J1" s="87" t="s">
        <v>17</v>
      </c>
      <c r="K1" s="87" t="s">
        <v>46</v>
      </c>
      <c r="L1" s="87" t="s">
        <v>47</v>
      </c>
      <c r="M1" s="87" t="s">
        <v>48</v>
      </c>
      <c r="N1" s="87" t="s">
        <v>49</v>
      </c>
      <c r="O1" s="87" t="s">
        <v>239</v>
      </c>
      <c r="P1" s="87" t="s">
        <v>240</v>
      </c>
      <c r="Q1" s="88" t="s">
        <v>241</v>
      </c>
      <c r="R1" s="88" t="s">
        <v>242</v>
      </c>
      <c r="S1" s="88" t="s">
        <v>243</v>
      </c>
      <c r="T1" s="89" t="s">
        <v>244</v>
      </c>
    </row>
    <row r="2">
      <c r="A2" s="90">
        <v>45742.0</v>
      </c>
      <c r="B2" s="91">
        <v>2.0</v>
      </c>
      <c r="C2" s="91" t="s">
        <v>245</v>
      </c>
      <c r="D2" s="92" t="s">
        <v>227</v>
      </c>
      <c r="E2" s="91" t="s">
        <v>202</v>
      </c>
      <c r="F2" s="91" t="s">
        <v>246</v>
      </c>
      <c r="G2" s="93" t="s">
        <v>23</v>
      </c>
      <c r="H2" s="94" t="s">
        <v>247</v>
      </c>
      <c r="I2" s="95">
        <f t="shared" ref="I2:I82" si="1">IF(G2="Bajo", 1, IF(G2="Medio", 2, IF(G2="Alto", 3, "A")))</f>
        <v>3</v>
      </c>
      <c r="J2" s="93" t="s">
        <v>22</v>
      </c>
      <c r="K2" s="95">
        <f t="shared" ref="K2:K82" si="2">IF(J2="Bajo", 1, IF(J2="Medio", 2, IF(J2="Alto", 3, "A")))</f>
        <v>2</v>
      </c>
      <c r="L2" s="96">
        <f t="shared" ref="L2:L82" si="3">I2*K2</f>
        <v>6</v>
      </c>
      <c r="M2" s="97" t="s">
        <v>248</v>
      </c>
      <c r="N2" s="97" t="s">
        <v>249</v>
      </c>
      <c r="O2" s="91" t="s">
        <v>250</v>
      </c>
      <c r="P2" s="91" t="s">
        <v>251</v>
      </c>
      <c r="Q2" s="92" t="s">
        <v>231</v>
      </c>
      <c r="R2" s="91"/>
      <c r="S2" s="98"/>
      <c r="T2" s="91" t="str">
        <f t="array" ref="T2:T1000">BYROW(S2:S1000, 
   LAMBDA(valor, 
      IF(valor = 0, "No aplica", 
         IF(valor &lt;= 5000000, "Bajo Costo", 
            IF(valor &lt;= 10000000, "Mediano Costo", "Alto Costo")
         )
      )
   )
)</f>
        <v>No aplica</v>
      </c>
      <c r="W2" s="99" t="str">
        <f t="shared" ref="W2:W82" si="4">IF(Q2="Transversal", R2, Q2)</f>
        <v>Transversal e Idefinido</v>
      </c>
    </row>
    <row r="3">
      <c r="A3" s="90">
        <v>45742.0</v>
      </c>
      <c r="B3" s="91">
        <v>3.0</v>
      </c>
      <c r="C3" s="91" t="s">
        <v>252</v>
      </c>
      <c r="D3" s="92" t="s">
        <v>217</v>
      </c>
      <c r="E3" s="91" t="s">
        <v>195</v>
      </c>
      <c r="F3" s="91" t="s">
        <v>253</v>
      </c>
      <c r="G3" s="93" t="s">
        <v>22</v>
      </c>
      <c r="H3" s="94"/>
      <c r="I3" s="95">
        <f t="shared" si="1"/>
        <v>2</v>
      </c>
      <c r="J3" s="93" t="s">
        <v>23</v>
      </c>
      <c r="K3" s="95">
        <f t="shared" si="2"/>
        <v>3</v>
      </c>
      <c r="L3" s="96">
        <f t="shared" si="3"/>
        <v>6</v>
      </c>
      <c r="M3" s="97" t="s">
        <v>254</v>
      </c>
      <c r="N3" s="97" t="s">
        <v>255</v>
      </c>
      <c r="O3" s="91" t="s">
        <v>256</v>
      </c>
      <c r="P3" s="91" t="s">
        <v>257</v>
      </c>
      <c r="Q3" s="92" t="s">
        <v>230</v>
      </c>
      <c r="R3" s="91" t="s">
        <v>258</v>
      </c>
      <c r="S3" s="98">
        <v>2000000.0</v>
      </c>
      <c r="T3" s="91" t="s">
        <v>259</v>
      </c>
      <c r="W3" s="99" t="str">
        <f t="shared" si="4"/>
        <v>Puesta en marcha, Control y Seguimiento</v>
      </c>
    </row>
    <row r="4">
      <c r="A4" s="90">
        <v>45742.0</v>
      </c>
      <c r="B4" s="91">
        <v>4.0</v>
      </c>
      <c r="C4" s="91" t="s">
        <v>260</v>
      </c>
      <c r="D4" s="92" t="s">
        <v>227</v>
      </c>
      <c r="E4" s="91" t="s">
        <v>200</v>
      </c>
      <c r="F4" s="91" t="s">
        <v>261</v>
      </c>
      <c r="G4" s="93" t="s">
        <v>23</v>
      </c>
      <c r="H4" s="94" t="s">
        <v>262</v>
      </c>
      <c r="I4" s="95">
        <f t="shared" si="1"/>
        <v>3</v>
      </c>
      <c r="J4" s="93" t="s">
        <v>23</v>
      </c>
      <c r="K4" s="95">
        <f t="shared" si="2"/>
        <v>3</v>
      </c>
      <c r="L4" s="96">
        <f t="shared" si="3"/>
        <v>9</v>
      </c>
      <c r="M4" s="97" t="s">
        <v>263</v>
      </c>
      <c r="N4" s="97" t="s">
        <v>264</v>
      </c>
      <c r="O4" s="91" t="s">
        <v>265</v>
      </c>
      <c r="P4" s="91" t="s">
        <v>266</v>
      </c>
      <c r="Q4" s="92" t="s">
        <v>231</v>
      </c>
      <c r="R4" s="91"/>
      <c r="S4" s="98"/>
      <c r="T4" s="91" t="s">
        <v>236</v>
      </c>
      <c r="W4" s="99" t="str">
        <f t="shared" si="4"/>
        <v>Transversal e Idefinido</v>
      </c>
    </row>
    <row r="5">
      <c r="A5" s="90">
        <v>45742.0</v>
      </c>
      <c r="B5" s="91">
        <v>5.0</v>
      </c>
      <c r="C5" s="91" t="s">
        <v>267</v>
      </c>
      <c r="D5" s="92" t="s">
        <v>227</v>
      </c>
      <c r="E5" s="91" t="s">
        <v>202</v>
      </c>
      <c r="F5" s="91" t="s">
        <v>268</v>
      </c>
      <c r="G5" s="93" t="s">
        <v>23</v>
      </c>
      <c r="H5" s="94" t="s">
        <v>269</v>
      </c>
      <c r="I5" s="95">
        <f t="shared" si="1"/>
        <v>3</v>
      </c>
      <c r="J5" s="93" t="s">
        <v>23</v>
      </c>
      <c r="K5" s="95">
        <f t="shared" si="2"/>
        <v>3</v>
      </c>
      <c r="L5" s="96">
        <f t="shared" si="3"/>
        <v>9</v>
      </c>
      <c r="M5" s="97" t="s">
        <v>270</v>
      </c>
      <c r="N5" s="97" t="s">
        <v>271</v>
      </c>
      <c r="O5" s="91" t="s">
        <v>272</v>
      </c>
      <c r="P5" s="91" t="s">
        <v>273</v>
      </c>
      <c r="Q5" s="92" t="s">
        <v>231</v>
      </c>
      <c r="R5" s="91"/>
      <c r="S5" s="98"/>
      <c r="T5" s="91" t="s">
        <v>236</v>
      </c>
      <c r="W5" s="99" t="str">
        <f t="shared" si="4"/>
        <v>Transversal e Idefinido</v>
      </c>
    </row>
    <row r="6">
      <c r="A6" s="90">
        <v>45742.0</v>
      </c>
      <c r="B6" s="91">
        <v>6.0</v>
      </c>
      <c r="C6" s="91" t="s">
        <v>274</v>
      </c>
      <c r="D6" s="92" t="s">
        <v>227</v>
      </c>
      <c r="E6" s="91" t="s">
        <v>202</v>
      </c>
      <c r="F6" s="91" t="s">
        <v>275</v>
      </c>
      <c r="G6" s="93" t="s">
        <v>23</v>
      </c>
      <c r="H6" s="94"/>
      <c r="I6" s="95">
        <f t="shared" si="1"/>
        <v>3</v>
      </c>
      <c r="J6" s="93" t="s">
        <v>23</v>
      </c>
      <c r="K6" s="95">
        <f t="shared" si="2"/>
        <v>3</v>
      </c>
      <c r="L6" s="96">
        <f t="shared" si="3"/>
        <v>9</v>
      </c>
      <c r="M6" s="97" t="s">
        <v>276</v>
      </c>
      <c r="N6" s="97" t="s">
        <v>277</v>
      </c>
      <c r="O6" s="91" t="s">
        <v>278</v>
      </c>
      <c r="P6" s="91" t="s">
        <v>279</v>
      </c>
      <c r="Q6" s="92" t="s">
        <v>231</v>
      </c>
      <c r="R6" s="91"/>
      <c r="S6" s="98"/>
      <c r="T6" s="91" t="s">
        <v>236</v>
      </c>
      <c r="W6" s="99" t="str">
        <f t="shared" si="4"/>
        <v>Transversal e Idefinido</v>
      </c>
    </row>
    <row r="7">
      <c r="A7" s="90">
        <v>45742.0</v>
      </c>
      <c r="B7" s="91">
        <v>7.0</v>
      </c>
      <c r="C7" s="91" t="s">
        <v>280</v>
      </c>
      <c r="D7" s="92" t="s">
        <v>217</v>
      </c>
      <c r="E7" s="91" t="s">
        <v>195</v>
      </c>
      <c r="F7" s="91" t="s">
        <v>281</v>
      </c>
      <c r="G7" s="93" t="s">
        <v>21</v>
      </c>
      <c r="H7" s="94"/>
      <c r="I7" s="95">
        <f t="shared" si="1"/>
        <v>1</v>
      </c>
      <c r="J7" s="93" t="s">
        <v>23</v>
      </c>
      <c r="K7" s="95">
        <f t="shared" si="2"/>
        <v>3</v>
      </c>
      <c r="L7" s="96">
        <f t="shared" si="3"/>
        <v>3</v>
      </c>
      <c r="M7" s="97" t="s">
        <v>282</v>
      </c>
      <c r="N7" s="97" t="s">
        <v>283</v>
      </c>
      <c r="O7" s="91"/>
      <c r="P7" s="91"/>
      <c r="Q7" s="92" t="s">
        <v>230</v>
      </c>
      <c r="R7" s="91" t="s">
        <v>284</v>
      </c>
      <c r="S7" s="98"/>
      <c r="T7" s="91" t="s">
        <v>236</v>
      </c>
      <c r="W7" s="99" t="str">
        <f t="shared" si="4"/>
        <v>Desarrollo, Puesta en marcha, Control y Seguimiento</v>
      </c>
    </row>
    <row r="8">
      <c r="A8" s="90">
        <v>45742.0</v>
      </c>
      <c r="B8" s="91">
        <v>8.0</v>
      </c>
      <c r="C8" s="91" t="s">
        <v>285</v>
      </c>
      <c r="D8" s="92" t="s">
        <v>217</v>
      </c>
      <c r="E8" s="91" t="s">
        <v>195</v>
      </c>
      <c r="F8" s="91" t="s">
        <v>286</v>
      </c>
      <c r="G8" s="93" t="s">
        <v>22</v>
      </c>
      <c r="H8" s="94"/>
      <c r="I8" s="95">
        <f t="shared" si="1"/>
        <v>2</v>
      </c>
      <c r="J8" s="93" t="s">
        <v>22</v>
      </c>
      <c r="K8" s="95">
        <f t="shared" si="2"/>
        <v>2</v>
      </c>
      <c r="L8" s="96">
        <f t="shared" si="3"/>
        <v>4</v>
      </c>
      <c r="M8" s="97" t="s">
        <v>287</v>
      </c>
      <c r="N8" s="97" t="s">
        <v>288</v>
      </c>
      <c r="O8" s="91" t="s">
        <v>289</v>
      </c>
      <c r="P8" s="91" t="s">
        <v>290</v>
      </c>
      <c r="Q8" s="92" t="s">
        <v>230</v>
      </c>
      <c r="R8" s="91" t="s">
        <v>291</v>
      </c>
      <c r="S8" s="98"/>
      <c r="T8" s="91" t="s">
        <v>236</v>
      </c>
      <c r="W8" s="99" t="str">
        <f t="shared" si="4"/>
        <v>Control y Seguimiento, Puesta en marcha</v>
      </c>
    </row>
    <row r="9">
      <c r="A9" s="90">
        <v>45742.0</v>
      </c>
      <c r="B9" s="91">
        <v>9.0</v>
      </c>
      <c r="C9" s="91" t="s">
        <v>292</v>
      </c>
      <c r="D9" s="92" t="s">
        <v>217</v>
      </c>
      <c r="E9" s="91" t="s">
        <v>196</v>
      </c>
      <c r="F9" s="91" t="s">
        <v>293</v>
      </c>
      <c r="G9" s="93" t="s">
        <v>21</v>
      </c>
      <c r="H9" s="94"/>
      <c r="I9" s="95">
        <f t="shared" si="1"/>
        <v>1</v>
      </c>
      <c r="J9" s="93" t="s">
        <v>23</v>
      </c>
      <c r="K9" s="95">
        <f t="shared" si="2"/>
        <v>3</v>
      </c>
      <c r="L9" s="96">
        <f t="shared" si="3"/>
        <v>3</v>
      </c>
      <c r="M9" s="97" t="s">
        <v>294</v>
      </c>
      <c r="N9" s="97" t="s">
        <v>295</v>
      </c>
      <c r="O9" s="91"/>
      <c r="P9" s="91"/>
      <c r="Q9" s="92" t="s">
        <v>230</v>
      </c>
      <c r="R9" s="91" t="s">
        <v>296</v>
      </c>
      <c r="S9" s="98"/>
      <c r="T9" s="91" t="s">
        <v>236</v>
      </c>
      <c r="W9" s="99" t="str">
        <f t="shared" si="4"/>
        <v>Desarrollo, Puesta en marcha</v>
      </c>
    </row>
    <row r="10">
      <c r="A10" s="90">
        <v>45742.0</v>
      </c>
      <c r="B10" s="91">
        <v>10.0</v>
      </c>
      <c r="C10" s="91" t="s">
        <v>297</v>
      </c>
      <c r="D10" s="92" t="s">
        <v>217</v>
      </c>
      <c r="E10" s="91" t="s">
        <v>195</v>
      </c>
      <c r="F10" s="91" t="s">
        <v>298</v>
      </c>
      <c r="G10" s="93" t="s">
        <v>21</v>
      </c>
      <c r="H10" s="94"/>
      <c r="I10" s="95">
        <f t="shared" si="1"/>
        <v>1</v>
      </c>
      <c r="J10" s="93" t="s">
        <v>23</v>
      </c>
      <c r="K10" s="95">
        <f t="shared" si="2"/>
        <v>3</v>
      </c>
      <c r="L10" s="96">
        <f t="shared" si="3"/>
        <v>3</v>
      </c>
      <c r="M10" s="97" t="s">
        <v>299</v>
      </c>
      <c r="N10" s="97" t="s">
        <v>300</v>
      </c>
      <c r="O10" s="91"/>
      <c r="P10" s="91"/>
      <c r="Q10" s="92" t="s">
        <v>230</v>
      </c>
      <c r="R10" s="91" t="s">
        <v>291</v>
      </c>
      <c r="S10" s="98">
        <v>1000000.0</v>
      </c>
      <c r="T10" s="91" t="s">
        <v>259</v>
      </c>
      <c r="W10" s="99" t="str">
        <f t="shared" si="4"/>
        <v>Control y Seguimiento, Puesta en marcha</v>
      </c>
    </row>
    <row r="11">
      <c r="A11" s="90">
        <v>45742.0</v>
      </c>
      <c r="B11" s="91">
        <v>11.0</v>
      </c>
      <c r="C11" s="91" t="s">
        <v>301</v>
      </c>
      <c r="D11" s="92" t="s">
        <v>217</v>
      </c>
      <c r="E11" s="91" t="s">
        <v>195</v>
      </c>
      <c r="F11" s="91" t="s">
        <v>302</v>
      </c>
      <c r="G11" s="93" t="s">
        <v>22</v>
      </c>
      <c r="H11" s="94"/>
      <c r="I11" s="95">
        <f t="shared" si="1"/>
        <v>2</v>
      </c>
      <c r="J11" s="93" t="s">
        <v>22</v>
      </c>
      <c r="K11" s="95">
        <f t="shared" si="2"/>
        <v>2</v>
      </c>
      <c r="L11" s="96">
        <f t="shared" si="3"/>
        <v>4</v>
      </c>
      <c r="M11" s="97" t="s">
        <v>303</v>
      </c>
      <c r="N11" s="97" t="s">
        <v>304</v>
      </c>
      <c r="O11" s="91" t="s">
        <v>305</v>
      </c>
      <c r="P11" s="91" t="s">
        <v>306</v>
      </c>
      <c r="Q11" s="92" t="s">
        <v>230</v>
      </c>
      <c r="R11" s="91" t="s">
        <v>296</v>
      </c>
      <c r="S11" s="98"/>
      <c r="T11" s="91" t="s">
        <v>236</v>
      </c>
      <c r="W11" s="99" t="str">
        <f t="shared" si="4"/>
        <v>Desarrollo, Puesta en marcha</v>
      </c>
    </row>
    <row r="12">
      <c r="A12" s="90">
        <v>45742.0</v>
      </c>
      <c r="B12" s="91">
        <v>12.0</v>
      </c>
      <c r="C12" s="91" t="s">
        <v>307</v>
      </c>
      <c r="D12" s="92" t="s">
        <v>217</v>
      </c>
      <c r="E12" s="91" t="s">
        <v>225</v>
      </c>
      <c r="F12" s="91" t="s">
        <v>308</v>
      </c>
      <c r="G12" s="93" t="s">
        <v>22</v>
      </c>
      <c r="H12" s="94"/>
      <c r="I12" s="95">
        <f t="shared" si="1"/>
        <v>2</v>
      </c>
      <c r="J12" s="93" t="s">
        <v>21</v>
      </c>
      <c r="K12" s="95">
        <f t="shared" si="2"/>
        <v>1</v>
      </c>
      <c r="L12" s="96">
        <f t="shared" si="3"/>
        <v>2</v>
      </c>
      <c r="M12" s="97" t="s">
        <v>309</v>
      </c>
      <c r="N12" s="97" t="s">
        <v>310</v>
      </c>
      <c r="O12" s="91" t="s">
        <v>311</v>
      </c>
      <c r="P12" s="91" t="s">
        <v>312</v>
      </c>
      <c r="Q12" s="92" t="s">
        <v>230</v>
      </c>
      <c r="R12" s="91" t="s">
        <v>313</v>
      </c>
      <c r="S12" s="98"/>
      <c r="T12" s="91" t="s">
        <v>236</v>
      </c>
      <c r="W12" s="99" t="str">
        <f t="shared" si="4"/>
        <v>Puesta en marcha, Inicio, Planificación</v>
      </c>
    </row>
    <row r="13">
      <c r="A13" s="90">
        <v>45742.0</v>
      </c>
      <c r="B13" s="91">
        <v>13.0</v>
      </c>
      <c r="C13" s="91" t="s">
        <v>314</v>
      </c>
      <c r="D13" s="92" t="s">
        <v>227</v>
      </c>
      <c r="E13" s="91" t="s">
        <v>201</v>
      </c>
      <c r="F13" s="91" t="s">
        <v>315</v>
      </c>
      <c r="G13" s="93" t="s">
        <v>23</v>
      </c>
      <c r="H13" s="94" t="s">
        <v>316</v>
      </c>
      <c r="I13" s="95">
        <f t="shared" si="1"/>
        <v>3</v>
      </c>
      <c r="J13" s="93" t="s">
        <v>22</v>
      </c>
      <c r="K13" s="95">
        <f t="shared" si="2"/>
        <v>2</v>
      </c>
      <c r="L13" s="96">
        <f t="shared" si="3"/>
        <v>6</v>
      </c>
      <c r="M13" s="97" t="s">
        <v>317</v>
      </c>
      <c r="N13" s="97" t="s">
        <v>318</v>
      </c>
      <c r="O13" s="91" t="s">
        <v>319</v>
      </c>
      <c r="P13" s="91" t="s">
        <v>320</v>
      </c>
      <c r="Q13" s="92" t="s">
        <v>230</v>
      </c>
      <c r="R13" s="91" t="s">
        <v>291</v>
      </c>
      <c r="S13" s="98"/>
      <c r="T13" s="91" t="s">
        <v>236</v>
      </c>
      <c r="W13" s="99" t="str">
        <f t="shared" si="4"/>
        <v>Control y Seguimiento, Puesta en marcha</v>
      </c>
    </row>
    <row r="14">
      <c r="A14" s="90">
        <v>45742.0</v>
      </c>
      <c r="B14" s="91">
        <v>14.0</v>
      </c>
      <c r="C14" s="91" t="s">
        <v>321</v>
      </c>
      <c r="D14" s="92" t="s">
        <v>232</v>
      </c>
      <c r="E14" s="91" t="s">
        <v>203</v>
      </c>
      <c r="F14" s="91" t="s">
        <v>322</v>
      </c>
      <c r="G14" s="93" t="s">
        <v>23</v>
      </c>
      <c r="H14" s="94" t="s">
        <v>323</v>
      </c>
      <c r="I14" s="95">
        <f t="shared" si="1"/>
        <v>3</v>
      </c>
      <c r="J14" s="93" t="s">
        <v>22</v>
      </c>
      <c r="K14" s="95">
        <f t="shared" si="2"/>
        <v>2</v>
      </c>
      <c r="L14" s="96">
        <f t="shared" si="3"/>
        <v>6</v>
      </c>
      <c r="M14" s="97" t="s">
        <v>324</v>
      </c>
      <c r="N14" s="97" t="s">
        <v>325</v>
      </c>
      <c r="O14" s="91" t="s">
        <v>326</v>
      </c>
      <c r="P14" s="91" t="s">
        <v>327</v>
      </c>
      <c r="Q14" s="92" t="s">
        <v>223</v>
      </c>
      <c r="R14" s="91"/>
      <c r="S14" s="98"/>
      <c r="T14" s="91" t="s">
        <v>236</v>
      </c>
      <c r="W14" s="99" t="str">
        <f t="shared" si="4"/>
        <v>Control y Seguimiento</v>
      </c>
    </row>
    <row r="15">
      <c r="A15" s="90">
        <v>45742.0</v>
      </c>
      <c r="B15" s="91">
        <v>15.0</v>
      </c>
      <c r="C15" s="91" t="s">
        <v>328</v>
      </c>
      <c r="D15" s="92" t="s">
        <v>227</v>
      </c>
      <c r="E15" s="91" t="s">
        <v>228</v>
      </c>
      <c r="F15" s="91" t="s">
        <v>329</v>
      </c>
      <c r="G15" s="93" t="s">
        <v>23</v>
      </c>
      <c r="H15" s="94"/>
      <c r="I15" s="95">
        <f t="shared" si="1"/>
        <v>3</v>
      </c>
      <c r="J15" s="93" t="s">
        <v>22</v>
      </c>
      <c r="K15" s="95">
        <f t="shared" si="2"/>
        <v>2</v>
      </c>
      <c r="L15" s="96">
        <f t="shared" si="3"/>
        <v>6</v>
      </c>
      <c r="M15" s="97" t="s">
        <v>330</v>
      </c>
      <c r="N15" s="97" t="s">
        <v>331</v>
      </c>
      <c r="O15" s="91" t="s">
        <v>332</v>
      </c>
      <c r="P15" s="91" t="s">
        <v>333</v>
      </c>
      <c r="Q15" s="92" t="s">
        <v>223</v>
      </c>
      <c r="R15" s="91"/>
      <c r="S15" s="98"/>
      <c r="T15" s="91" t="s">
        <v>236</v>
      </c>
      <c r="W15" s="99" t="str">
        <f t="shared" si="4"/>
        <v>Control y Seguimiento</v>
      </c>
    </row>
    <row r="16">
      <c r="A16" s="90">
        <v>45742.0</v>
      </c>
      <c r="B16" s="91">
        <v>16.0</v>
      </c>
      <c r="C16" s="91" t="s">
        <v>334</v>
      </c>
      <c r="D16" s="92" t="s">
        <v>234</v>
      </c>
      <c r="E16" s="91" t="s">
        <v>207</v>
      </c>
      <c r="F16" s="91" t="s">
        <v>335</v>
      </c>
      <c r="G16" s="93" t="s">
        <v>23</v>
      </c>
      <c r="H16" s="94" t="s">
        <v>336</v>
      </c>
      <c r="I16" s="95">
        <f t="shared" si="1"/>
        <v>3</v>
      </c>
      <c r="J16" s="93" t="s">
        <v>21</v>
      </c>
      <c r="K16" s="95">
        <f t="shared" si="2"/>
        <v>1</v>
      </c>
      <c r="L16" s="96">
        <f t="shared" si="3"/>
        <v>3</v>
      </c>
      <c r="M16" s="97" t="s">
        <v>337</v>
      </c>
      <c r="N16" s="97" t="s">
        <v>338</v>
      </c>
      <c r="O16" s="91" t="s">
        <v>339</v>
      </c>
      <c r="P16" s="91" t="s">
        <v>340</v>
      </c>
      <c r="Q16" s="92" t="s">
        <v>230</v>
      </c>
      <c r="R16" s="91" t="s">
        <v>258</v>
      </c>
      <c r="S16" s="98"/>
      <c r="T16" s="91" t="s">
        <v>236</v>
      </c>
      <c r="W16" s="99" t="str">
        <f t="shared" si="4"/>
        <v>Puesta en marcha, Control y Seguimiento</v>
      </c>
    </row>
    <row r="17">
      <c r="A17" s="90">
        <v>45742.0</v>
      </c>
      <c r="B17" s="91">
        <v>17.0</v>
      </c>
      <c r="C17" s="91" t="s">
        <v>341</v>
      </c>
      <c r="D17" s="92" t="s">
        <v>217</v>
      </c>
      <c r="E17" s="91" t="s">
        <v>198</v>
      </c>
      <c r="F17" s="91" t="s">
        <v>342</v>
      </c>
      <c r="G17" s="93" t="s">
        <v>22</v>
      </c>
      <c r="H17" s="94"/>
      <c r="I17" s="95">
        <f t="shared" si="1"/>
        <v>2</v>
      </c>
      <c r="J17" s="93" t="s">
        <v>21</v>
      </c>
      <c r="K17" s="95">
        <f t="shared" si="2"/>
        <v>1</v>
      </c>
      <c r="L17" s="96">
        <f t="shared" si="3"/>
        <v>2</v>
      </c>
      <c r="M17" s="97" t="s">
        <v>343</v>
      </c>
      <c r="N17" s="97" t="s">
        <v>344</v>
      </c>
      <c r="O17" s="91" t="s">
        <v>345</v>
      </c>
      <c r="P17" s="91" t="s">
        <v>346</v>
      </c>
      <c r="Q17" s="92" t="s">
        <v>230</v>
      </c>
      <c r="R17" s="91" t="s">
        <v>296</v>
      </c>
      <c r="S17" s="98"/>
      <c r="T17" s="91" t="s">
        <v>236</v>
      </c>
      <c r="W17" s="99" t="str">
        <f t="shared" si="4"/>
        <v>Desarrollo, Puesta en marcha</v>
      </c>
    </row>
    <row r="18">
      <c r="A18" s="90">
        <v>45742.0</v>
      </c>
      <c r="B18" s="91">
        <v>18.0</v>
      </c>
      <c r="C18" s="91" t="s">
        <v>347</v>
      </c>
      <c r="D18" s="92" t="s">
        <v>217</v>
      </c>
      <c r="E18" s="91" t="s">
        <v>196</v>
      </c>
      <c r="F18" s="91" t="s">
        <v>348</v>
      </c>
      <c r="G18" s="93" t="s">
        <v>21</v>
      </c>
      <c r="H18" s="94"/>
      <c r="I18" s="95">
        <f t="shared" si="1"/>
        <v>1</v>
      </c>
      <c r="J18" s="93" t="s">
        <v>22</v>
      </c>
      <c r="K18" s="95">
        <f t="shared" si="2"/>
        <v>2</v>
      </c>
      <c r="L18" s="96">
        <f t="shared" si="3"/>
        <v>2</v>
      </c>
      <c r="M18" s="97" t="s">
        <v>349</v>
      </c>
      <c r="N18" s="97" t="s">
        <v>350</v>
      </c>
      <c r="O18" s="91"/>
      <c r="P18" s="91"/>
      <c r="Q18" s="92" t="s">
        <v>231</v>
      </c>
      <c r="R18" s="91"/>
      <c r="S18" s="98"/>
      <c r="T18" s="91" t="s">
        <v>236</v>
      </c>
      <c r="W18" s="99" t="str">
        <f t="shared" si="4"/>
        <v>Transversal e Idefinido</v>
      </c>
    </row>
    <row r="19">
      <c r="A19" s="90">
        <v>45742.0</v>
      </c>
      <c r="B19" s="91">
        <v>19.0</v>
      </c>
      <c r="C19" s="91" t="s">
        <v>351</v>
      </c>
      <c r="D19" s="92" t="s">
        <v>234</v>
      </c>
      <c r="E19" s="91" t="s">
        <v>235</v>
      </c>
      <c r="F19" s="91" t="s">
        <v>352</v>
      </c>
      <c r="G19" s="93" t="s">
        <v>23</v>
      </c>
      <c r="H19" s="94" t="s">
        <v>353</v>
      </c>
      <c r="I19" s="95">
        <f t="shared" si="1"/>
        <v>3</v>
      </c>
      <c r="J19" s="93" t="s">
        <v>22</v>
      </c>
      <c r="K19" s="95">
        <f t="shared" si="2"/>
        <v>2</v>
      </c>
      <c r="L19" s="96">
        <f t="shared" si="3"/>
        <v>6</v>
      </c>
      <c r="M19" s="97" t="s">
        <v>354</v>
      </c>
      <c r="N19" s="97" t="s">
        <v>355</v>
      </c>
      <c r="O19" s="91" t="s">
        <v>356</v>
      </c>
      <c r="P19" s="91" t="s">
        <v>357</v>
      </c>
      <c r="Q19" s="92" t="s">
        <v>230</v>
      </c>
      <c r="R19" s="91" t="s">
        <v>258</v>
      </c>
      <c r="S19" s="98"/>
      <c r="T19" s="91" t="s">
        <v>236</v>
      </c>
      <c r="W19" s="99" t="str">
        <f t="shared" si="4"/>
        <v>Puesta en marcha, Control y Seguimiento</v>
      </c>
    </row>
    <row r="20">
      <c r="A20" s="90">
        <v>45742.0</v>
      </c>
      <c r="B20" s="91">
        <v>20.0</v>
      </c>
      <c r="C20" s="91" t="s">
        <v>358</v>
      </c>
      <c r="D20" s="92" t="s">
        <v>232</v>
      </c>
      <c r="E20" s="91" t="s">
        <v>203</v>
      </c>
      <c r="F20" s="91" t="s">
        <v>359</v>
      </c>
      <c r="G20" s="93" t="s">
        <v>23</v>
      </c>
      <c r="H20" s="94" t="s">
        <v>360</v>
      </c>
      <c r="I20" s="95">
        <f t="shared" si="1"/>
        <v>3</v>
      </c>
      <c r="J20" s="93" t="s">
        <v>22</v>
      </c>
      <c r="K20" s="95">
        <f t="shared" si="2"/>
        <v>2</v>
      </c>
      <c r="L20" s="96">
        <f t="shared" si="3"/>
        <v>6</v>
      </c>
      <c r="M20" s="97" t="s">
        <v>361</v>
      </c>
      <c r="N20" s="97" t="s">
        <v>362</v>
      </c>
      <c r="O20" s="91" t="s">
        <v>363</v>
      </c>
      <c r="P20" s="91" t="s">
        <v>364</v>
      </c>
      <c r="Q20" s="92" t="s">
        <v>230</v>
      </c>
      <c r="R20" s="91" t="s">
        <v>365</v>
      </c>
      <c r="S20" s="98"/>
      <c r="T20" s="91" t="s">
        <v>236</v>
      </c>
      <c r="W20" s="99" t="str">
        <f t="shared" si="4"/>
        <v>Inicio, Planificación</v>
      </c>
    </row>
    <row r="21">
      <c r="A21" s="90">
        <v>45742.0</v>
      </c>
      <c r="B21" s="91">
        <v>21.0</v>
      </c>
      <c r="C21" s="91" t="s">
        <v>366</v>
      </c>
      <c r="D21" s="92" t="s">
        <v>232</v>
      </c>
      <c r="E21" s="91" t="s">
        <v>233</v>
      </c>
      <c r="F21" s="91" t="s">
        <v>367</v>
      </c>
      <c r="G21" s="93" t="s">
        <v>21</v>
      </c>
      <c r="H21" s="94"/>
      <c r="I21" s="95">
        <f t="shared" si="1"/>
        <v>1</v>
      </c>
      <c r="J21" s="93" t="s">
        <v>23</v>
      </c>
      <c r="K21" s="95">
        <f t="shared" si="2"/>
        <v>3</v>
      </c>
      <c r="L21" s="96">
        <f t="shared" si="3"/>
        <v>3</v>
      </c>
      <c r="M21" s="97" t="s">
        <v>368</v>
      </c>
      <c r="N21" s="97" t="s">
        <v>369</v>
      </c>
      <c r="O21" s="91"/>
      <c r="P21" s="91"/>
      <c r="Q21" s="92" t="s">
        <v>230</v>
      </c>
      <c r="R21" s="91" t="s">
        <v>365</v>
      </c>
      <c r="S21" s="98"/>
      <c r="T21" s="91" t="s">
        <v>236</v>
      </c>
      <c r="W21" s="99" t="str">
        <f t="shared" si="4"/>
        <v>Inicio, Planificación</v>
      </c>
    </row>
    <row r="22">
      <c r="A22" s="90">
        <v>45742.0</v>
      </c>
      <c r="B22" s="91">
        <v>22.0</v>
      </c>
      <c r="C22" s="91" t="s">
        <v>370</v>
      </c>
      <c r="D22" s="92" t="s">
        <v>227</v>
      </c>
      <c r="E22" s="91" t="s">
        <v>199</v>
      </c>
      <c r="F22" s="91" t="s">
        <v>371</v>
      </c>
      <c r="G22" s="93" t="s">
        <v>21</v>
      </c>
      <c r="H22" s="94"/>
      <c r="I22" s="95">
        <f t="shared" si="1"/>
        <v>1</v>
      </c>
      <c r="J22" s="93" t="s">
        <v>23</v>
      </c>
      <c r="K22" s="95">
        <f t="shared" si="2"/>
        <v>3</v>
      </c>
      <c r="L22" s="96">
        <f t="shared" si="3"/>
        <v>3</v>
      </c>
      <c r="M22" s="97" t="s">
        <v>372</v>
      </c>
      <c r="N22" s="97" t="s">
        <v>373</v>
      </c>
      <c r="O22" s="91"/>
      <c r="P22" s="91"/>
      <c r="Q22" s="92" t="s">
        <v>231</v>
      </c>
      <c r="R22" s="91"/>
      <c r="S22" s="98"/>
      <c r="T22" s="91" t="s">
        <v>236</v>
      </c>
      <c r="W22" s="99" t="str">
        <f t="shared" si="4"/>
        <v>Transversal e Idefinido</v>
      </c>
    </row>
    <row r="23">
      <c r="A23" s="90">
        <v>45742.0</v>
      </c>
      <c r="B23" s="91">
        <v>23.0</v>
      </c>
      <c r="C23" s="91" t="s">
        <v>374</v>
      </c>
      <c r="D23" s="92" t="s">
        <v>217</v>
      </c>
      <c r="E23" s="91" t="s">
        <v>195</v>
      </c>
      <c r="F23" s="91" t="s">
        <v>375</v>
      </c>
      <c r="G23" s="93" t="s">
        <v>21</v>
      </c>
      <c r="H23" s="94"/>
      <c r="I23" s="95">
        <f t="shared" si="1"/>
        <v>1</v>
      </c>
      <c r="J23" s="93" t="s">
        <v>22</v>
      </c>
      <c r="K23" s="95">
        <f t="shared" si="2"/>
        <v>2</v>
      </c>
      <c r="L23" s="96">
        <f t="shared" si="3"/>
        <v>2</v>
      </c>
      <c r="M23" s="97" t="s">
        <v>376</v>
      </c>
      <c r="N23" s="97" t="s">
        <v>377</v>
      </c>
      <c r="O23" s="91"/>
      <c r="P23" s="91"/>
      <c r="Q23" s="92" t="s">
        <v>230</v>
      </c>
      <c r="R23" s="91" t="s">
        <v>378</v>
      </c>
      <c r="S23" s="98"/>
      <c r="T23" s="91" t="s">
        <v>236</v>
      </c>
      <c r="W23" s="99" t="str">
        <f t="shared" si="4"/>
        <v>Desarrollo, Control y Seguimiento</v>
      </c>
    </row>
    <row r="24">
      <c r="A24" s="90">
        <v>45742.0</v>
      </c>
      <c r="B24" s="91">
        <v>24.0</v>
      </c>
      <c r="C24" s="91" t="s">
        <v>379</v>
      </c>
      <c r="D24" s="92" t="s">
        <v>217</v>
      </c>
      <c r="E24" s="91" t="s">
        <v>196</v>
      </c>
      <c r="F24" s="91" t="s">
        <v>380</v>
      </c>
      <c r="G24" s="93" t="s">
        <v>22</v>
      </c>
      <c r="H24" s="94"/>
      <c r="I24" s="95">
        <f t="shared" si="1"/>
        <v>2</v>
      </c>
      <c r="J24" s="93" t="s">
        <v>22</v>
      </c>
      <c r="K24" s="95">
        <f t="shared" si="2"/>
        <v>2</v>
      </c>
      <c r="L24" s="96">
        <f t="shared" si="3"/>
        <v>4</v>
      </c>
      <c r="M24" s="97" t="s">
        <v>381</v>
      </c>
      <c r="N24" s="97" t="s">
        <v>382</v>
      </c>
      <c r="O24" s="91" t="s">
        <v>383</v>
      </c>
      <c r="P24" s="91" t="s">
        <v>384</v>
      </c>
      <c r="Q24" s="92" t="s">
        <v>231</v>
      </c>
      <c r="R24" s="91"/>
      <c r="S24" s="98"/>
      <c r="T24" s="91" t="s">
        <v>236</v>
      </c>
      <c r="W24" s="99" t="str">
        <f t="shared" si="4"/>
        <v>Transversal e Idefinido</v>
      </c>
    </row>
    <row r="25">
      <c r="A25" s="90">
        <v>45742.0</v>
      </c>
      <c r="B25" s="91">
        <v>25.0</v>
      </c>
      <c r="C25" s="91" t="s">
        <v>385</v>
      </c>
      <c r="D25" s="92" t="s">
        <v>227</v>
      </c>
      <c r="E25" s="91" t="s">
        <v>228</v>
      </c>
      <c r="F25" s="91" t="s">
        <v>386</v>
      </c>
      <c r="G25" s="93" t="s">
        <v>22</v>
      </c>
      <c r="H25" s="94"/>
      <c r="I25" s="95">
        <f t="shared" si="1"/>
        <v>2</v>
      </c>
      <c r="J25" s="93" t="s">
        <v>23</v>
      </c>
      <c r="K25" s="95">
        <f t="shared" si="2"/>
        <v>3</v>
      </c>
      <c r="L25" s="96">
        <f t="shared" si="3"/>
        <v>6</v>
      </c>
      <c r="M25" s="97" t="s">
        <v>387</v>
      </c>
      <c r="N25" s="97" t="s">
        <v>388</v>
      </c>
      <c r="O25" s="91" t="s">
        <v>389</v>
      </c>
      <c r="P25" s="91" t="s">
        <v>390</v>
      </c>
      <c r="Q25" s="92" t="s">
        <v>231</v>
      </c>
      <c r="R25" s="91"/>
      <c r="S25" s="98"/>
      <c r="T25" s="91" t="s">
        <v>236</v>
      </c>
      <c r="W25" s="99" t="str">
        <f t="shared" si="4"/>
        <v>Transversal e Idefinido</v>
      </c>
    </row>
    <row r="26">
      <c r="A26" s="90">
        <v>45742.0</v>
      </c>
      <c r="B26" s="91">
        <v>26.0</v>
      </c>
      <c r="C26" s="91" t="s">
        <v>391</v>
      </c>
      <c r="D26" s="92" t="s">
        <v>234</v>
      </c>
      <c r="E26" s="91" t="s">
        <v>207</v>
      </c>
      <c r="F26" s="91" t="s">
        <v>392</v>
      </c>
      <c r="G26" s="93" t="s">
        <v>21</v>
      </c>
      <c r="H26" s="94"/>
      <c r="I26" s="95">
        <f t="shared" si="1"/>
        <v>1</v>
      </c>
      <c r="J26" s="93" t="s">
        <v>21</v>
      </c>
      <c r="K26" s="95">
        <f t="shared" si="2"/>
        <v>1</v>
      </c>
      <c r="L26" s="96">
        <f t="shared" si="3"/>
        <v>1</v>
      </c>
      <c r="M26" s="97" t="s">
        <v>393</v>
      </c>
      <c r="N26" s="97" t="s">
        <v>394</v>
      </c>
      <c r="O26" s="91"/>
      <c r="P26" s="91"/>
      <c r="Q26" s="92" t="s">
        <v>223</v>
      </c>
      <c r="R26" s="91"/>
      <c r="S26" s="98"/>
      <c r="T26" s="91" t="s">
        <v>236</v>
      </c>
      <c r="W26" s="99" t="str">
        <f t="shared" si="4"/>
        <v>Control y Seguimiento</v>
      </c>
    </row>
    <row r="27">
      <c r="A27" s="90">
        <v>45742.0</v>
      </c>
      <c r="B27" s="91">
        <v>27.0</v>
      </c>
      <c r="C27" s="91" t="s">
        <v>395</v>
      </c>
      <c r="D27" s="92" t="s">
        <v>217</v>
      </c>
      <c r="E27" s="91" t="s">
        <v>197</v>
      </c>
      <c r="F27" s="91" t="s">
        <v>396</v>
      </c>
      <c r="G27" s="93" t="s">
        <v>21</v>
      </c>
      <c r="H27" s="94"/>
      <c r="I27" s="95">
        <f t="shared" si="1"/>
        <v>1</v>
      </c>
      <c r="J27" s="93" t="s">
        <v>22</v>
      </c>
      <c r="K27" s="95">
        <f t="shared" si="2"/>
        <v>2</v>
      </c>
      <c r="L27" s="96">
        <f t="shared" si="3"/>
        <v>2</v>
      </c>
      <c r="M27" s="100" t="s">
        <v>397</v>
      </c>
      <c r="N27" s="97" t="s">
        <v>398</v>
      </c>
      <c r="O27" s="91"/>
      <c r="P27" s="91"/>
      <c r="Q27" s="92" t="s">
        <v>230</v>
      </c>
      <c r="R27" s="91" t="s">
        <v>399</v>
      </c>
      <c r="S27" s="98"/>
      <c r="T27" s="91" t="s">
        <v>236</v>
      </c>
      <c r="W27" s="99" t="str">
        <f t="shared" si="4"/>
        <v>Desarrollo, Control y Seguimiento, Puesta en marcha</v>
      </c>
    </row>
    <row r="28">
      <c r="A28" s="90">
        <v>45742.0</v>
      </c>
      <c r="B28" s="91">
        <v>28.0</v>
      </c>
      <c r="C28" s="91" t="s">
        <v>400</v>
      </c>
      <c r="D28" s="92" t="s">
        <v>217</v>
      </c>
      <c r="E28" s="91" t="s">
        <v>195</v>
      </c>
      <c r="F28" s="91" t="s">
        <v>401</v>
      </c>
      <c r="G28" s="93" t="s">
        <v>23</v>
      </c>
      <c r="H28" s="94" t="s">
        <v>402</v>
      </c>
      <c r="I28" s="95">
        <f t="shared" si="1"/>
        <v>3</v>
      </c>
      <c r="J28" s="93" t="s">
        <v>23</v>
      </c>
      <c r="K28" s="95">
        <f t="shared" si="2"/>
        <v>3</v>
      </c>
      <c r="L28" s="96">
        <f t="shared" si="3"/>
        <v>9</v>
      </c>
      <c r="M28" s="97" t="s">
        <v>403</v>
      </c>
      <c r="N28" s="97" t="s">
        <v>404</v>
      </c>
      <c r="O28" s="91" t="s">
        <v>405</v>
      </c>
      <c r="P28" s="91" t="s">
        <v>406</v>
      </c>
      <c r="Q28" s="92" t="s">
        <v>230</v>
      </c>
      <c r="R28" s="91" t="s">
        <v>291</v>
      </c>
      <c r="S28" s="98">
        <v>1.25E7</v>
      </c>
      <c r="T28" s="91" t="s">
        <v>407</v>
      </c>
      <c r="W28" s="99" t="str">
        <f t="shared" si="4"/>
        <v>Control y Seguimiento, Puesta en marcha</v>
      </c>
    </row>
    <row r="29">
      <c r="A29" s="90">
        <v>45742.0</v>
      </c>
      <c r="B29" s="91">
        <v>29.0</v>
      </c>
      <c r="C29" s="91" t="s">
        <v>408</v>
      </c>
      <c r="D29" s="92" t="s">
        <v>217</v>
      </c>
      <c r="E29" s="91" t="s">
        <v>195</v>
      </c>
      <c r="F29" s="91" t="s">
        <v>409</v>
      </c>
      <c r="G29" s="93" t="s">
        <v>22</v>
      </c>
      <c r="H29" s="94"/>
      <c r="I29" s="95">
        <f t="shared" si="1"/>
        <v>2</v>
      </c>
      <c r="J29" s="93" t="s">
        <v>21</v>
      </c>
      <c r="K29" s="95">
        <f t="shared" si="2"/>
        <v>1</v>
      </c>
      <c r="L29" s="96">
        <f t="shared" si="3"/>
        <v>2</v>
      </c>
      <c r="M29" s="97" t="s">
        <v>410</v>
      </c>
      <c r="N29" s="97" t="s">
        <v>411</v>
      </c>
      <c r="O29" s="91" t="s">
        <v>412</v>
      </c>
      <c r="P29" s="91" t="s">
        <v>413</v>
      </c>
      <c r="Q29" s="92" t="s">
        <v>230</v>
      </c>
      <c r="R29" s="91" t="s">
        <v>296</v>
      </c>
      <c r="S29" s="98"/>
      <c r="T29" s="91" t="s">
        <v>236</v>
      </c>
      <c r="W29" s="99" t="str">
        <f t="shared" si="4"/>
        <v>Desarrollo, Puesta en marcha</v>
      </c>
    </row>
    <row r="30">
      <c r="A30" s="90">
        <v>45742.0</v>
      </c>
      <c r="B30" s="91">
        <v>30.0</v>
      </c>
      <c r="C30" s="91" t="s">
        <v>414</v>
      </c>
      <c r="D30" s="92" t="s">
        <v>217</v>
      </c>
      <c r="E30" s="91" t="s">
        <v>198</v>
      </c>
      <c r="F30" s="91" t="s">
        <v>415</v>
      </c>
      <c r="G30" s="93" t="s">
        <v>22</v>
      </c>
      <c r="H30" s="94"/>
      <c r="I30" s="95">
        <f t="shared" si="1"/>
        <v>2</v>
      </c>
      <c r="J30" s="93" t="s">
        <v>21</v>
      </c>
      <c r="K30" s="95">
        <f t="shared" si="2"/>
        <v>1</v>
      </c>
      <c r="L30" s="96">
        <f t="shared" si="3"/>
        <v>2</v>
      </c>
      <c r="M30" s="97" t="s">
        <v>416</v>
      </c>
      <c r="N30" s="97" t="s">
        <v>417</v>
      </c>
      <c r="O30" s="91" t="s">
        <v>418</v>
      </c>
      <c r="P30" s="91" t="s">
        <v>419</v>
      </c>
      <c r="Q30" s="92" t="s">
        <v>230</v>
      </c>
      <c r="R30" s="91" t="s">
        <v>258</v>
      </c>
      <c r="S30" s="98"/>
      <c r="T30" s="91" t="s">
        <v>236</v>
      </c>
      <c r="W30" s="99" t="str">
        <f t="shared" si="4"/>
        <v>Puesta en marcha, Control y Seguimiento</v>
      </c>
    </row>
    <row r="31">
      <c r="A31" s="90">
        <v>45742.0</v>
      </c>
      <c r="B31" s="91">
        <v>31.0</v>
      </c>
      <c r="C31" s="91" t="s">
        <v>420</v>
      </c>
      <c r="D31" s="92" t="s">
        <v>217</v>
      </c>
      <c r="E31" s="91" t="s">
        <v>196</v>
      </c>
      <c r="F31" s="91" t="s">
        <v>421</v>
      </c>
      <c r="G31" s="93" t="s">
        <v>23</v>
      </c>
      <c r="H31" s="94" t="s">
        <v>422</v>
      </c>
      <c r="I31" s="95">
        <f t="shared" si="1"/>
        <v>3</v>
      </c>
      <c r="J31" s="93" t="s">
        <v>23</v>
      </c>
      <c r="K31" s="95">
        <f t="shared" si="2"/>
        <v>3</v>
      </c>
      <c r="L31" s="96">
        <f t="shared" si="3"/>
        <v>9</v>
      </c>
      <c r="M31" s="97" t="s">
        <v>423</v>
      </c>
      <c r="N31" s="97" t="s">
        <v>424</v>
      </c>
      <c r="O31" s="91" t="s">
        <v>425</v>
      </c>
      <c r="P31" s="91" t="s">
        <v>426</v>
      </c>
      <c r="Q31" s="92" t="s">
        <v>230</v>
      </c>
      <c r="R31" s="91" t="s">
        <v>365</v>
      </c>
      <c r="S31" s="98"/>
      <c r="T31" s="91" t="s">
        <v>236</v>
      </c>
      <c r="W31" s="99" t="str">
        <f t="shared" si="4"/>
        <v>Inicio, Planificación</v>
      </c>
    </row>
    <row r="32">
      <c r="A32" s="90">
        <v>45742.0</v>
      </c>
      <c r="B32" s="91">
        <v>33.0</v>
      </c>
      <c r="C32" s="91" t="s">
        <v>427</v>
      </c>
      <c r="D32" s="92" t="s">
        <v>227</v>
      </c>
      <c r="E32" s="91" t="s">
        <v>199</v>
      </c>
      <c r="F32" s="91" t="s">
        <v>428</v>
      </c>
      <c r="G32" s="93" t="s">
        <v>21</v>
      </c>
      <c r="H32" s="94"/>
      <c r="I32" s="95">
        <f t="shared" si="1"/>
        <v>1</v>
      </c>
      <c r="J32" s="93" t="s">
        <v>23</v>
      </c>
      <c r="K32" s="95">
        <f t="shared" si="2"/>
        <v>3</v>
      </c>
      <c r="L32" s="96">
        <f t="shared" si="3"/>
        <v>3</v>
      </c>
      <c r="M32" s="97" t="s">
        <v>429</v>
      </c>
      <c r="N32" s="97" t="s">
        <v>430</v>
      </c>
      <c r="O32" s="91"/>
      <c r="P32" s="91"/>
      <c r="Q32" s="92" t="s">
        <v>229</v>
      </c>
      <c r="R32" s="91"/>
      <c r="S32" s="98"/>
      <c r="T32" s="91" t="s">
        <v>236</v>
      </c>
      <c r="W32" s="99" t="str">
        <f t="shared" si="4"/>
        <v>Indefinido</v>
      </c>
    </row>
    <row r="33">
      <c r="A33" s="90">
        <v>45742.0</v>
      </c>
      <c r="B33" s="91">
        <v>34.0</v>
      </c>
      <c r="C33" s="91" t="s">
        <v>431</v>
      </c>
      <c r="D33" s="92" t="s">
        <v>227</v>
      </c>
      <c r="E33" s="91" t="s">
        <v>200</v>
      </c>
      <c r="F33" s="91" t="s">
        <v>432</v>
      </c>
      <c r="G33" s="93" t="s">
        <v>21</v>
      </c>
      <c r="H33" s="94"/>
      <c r="I33" s="95">
        <f t="shared" si="1"/>
        <v>1</v>
      </c>
      <c r="J33" s="93" t="s">
        <v>23</v>
      </c>
      <c r="K33" s="95">
        <f t="shared" si="2"/>
        <v>3</v>
      </c>
      <c r="L33" s="96">
        <f t="shared" si="3"/>
        <v>3</v>
      </c>
      <c r="M33" s="97" t="s">
        <v>433</v>
      </c>
      <c r="N33" s="97" t="s">
        <v>434</v>
      </c>
      <c r="O33" s="91"/>
      <c r="P33" s="91"/>
      <c r="Q33" s="92" t="s">
        <v>229</v>
      </c>
      <c r="R33" s="91"/>
      <c r="S33" s="98"/>
      <c r="T33" s="91" t="s">
        <v>236</v>
      </c>
      <c r="W33" s="99" t="str">
        <f t="shared" si="4"/>
        <v>Indefinido</v>
      </c>
    </row>
    <row r="34">
      <c r="A34" s="90">
        <v>45742.0</v>
      </c>
      <c r="B34" s="91">
        <v>35.0</v>
      </c>
      <c r="C34" s="91" t="s">
        <v>435</v>
      </c>
      <c r="D34" s="92" t="s">
        <v>227</v>
      </c>
      <c r="E34" s="91" t="s">
        <v>200</v>
      </c>
      <c r="F34" s="91" t="s">
        <v>436</v>
      </c>
      <c r="G34" s="93" t="s">
        <v>21</v>
      </c>
      <c r="H34" s="94"/>
      <c r="I34" s="95">
        <f t="shared" si="1"/>
        <v>1</v>
      </c>
      <c r="J34" s="93" t="s">
        <v>23</v>
      </c>
      <c r="K34" s="95">
        <f t="shared" si="2"/>
        <v>3</v>
      </c>
      <c r="L34" s="96">
        <f t="shared" si="3"/>
        <v>3</v>
      </c>
      <c r="M34" s="97" t="s">
        <v>437</v>
      </c>
      <c r="N34" s="97" t="s">
        <v>438</v>
      </c>
      <c r="O34" s="91"/>
      <c r="P34" s="91"/>
      <c r="Q34" s="92" t="s">
        <v>223</v>
      </c>
      <c r="R34" s="91"/>
      <c r="S34" s="98"/>
      <c r="T34" s="91" t="s">
        <v>236</v>
      </c>
      <c r="W34" s="99" t="str">
        <f t="shared" si="4"/>
        <v>Control y Seguimiento</v>
      </c>
    </row>
    <row r="35">
      <c r="A35" s="90">
        <v>45742.0</v>
      </c>
      <c r="B35" s="91">
        <v>36.0</v>
      </c>
      <c r="C35" s="91" t="s">
        <v>439</v>
      </c>
      <c r="D35" s="92" t="s">
        <v>227</v>
      </c>
      <c r="E35" s="91" t="s">
        <v>200</v>
      </c>
      <c r="F35" s="91" t="s">
        <v>440</v>
      </c>
      <c r="G35" s="93" t="s">
        <v>21</v>
      </c>
      <c r="H35" s="94"/>
      <c r="I35" s="95">
        <f t="shared" si="1"/>
        <v>1</v>
      </c>
      <c r="J35" s="93" t="s">
        <v>23</v>
      </c>
      <c r="K35" s="95">
        <f t="shared" si="2"/>
        <v>3</v>
      </c>
      <c r="L35" s="96">
        <f t="shared" si="3"/>
        <v>3</v>
      </c>
      <c r="M35" s="97" t="s">
        <v>441</v>
      </c>
      <c r="N35" s="97" t="s">
        <v>442</v>
      </c>
      <c r="O35" s="91"/>
      <c r="P35" s="91"/>
      <c r="Q35" s="92" t="s">
        <v>229</v>
      </c>
      <c r="R35" s="91"/>
      <c r="S35" s="98"/>
      <c r="T35" s="91" t="s">
        <v>236</v>
      </c>
      <c r="W35" s="99" t="str">
        <f t="shared" si="4"/>
        <v>Indefinido</v>
      </c>
    </row>
    <row r="36">
      <c r="A36" s="90">
        <v>45742.0</v>
      </c>
      <c r="B36" s="91">
        <v>37.0</v>
      </c>
      <c r="C36" s="91" t="s">
        <v>443</v>
      </c>
      <c r="D36" s="92" t="s">
        <v>217</v>
      </c>
      <c r="E36" s="91" t="s">
        <v>197</v>
      </c>
      <c r="F36" s="91" t="s">
        <v>444</v>
      </c>
      <c r="G36" s="93" t="s">
        <v>21</v>
      </c>
      <c r="H36" s="94"/>
      <c r="I36" s="95">
        <f t="shared" si="1"/>
        <v>1</v>
      </c>
      <c r="J36" s="93" t="s">
        <v>23</v>
      </c>
      <c r="K36" s="95">
        <f t="shared" si="2"/>
        <v>3</v>
      </c>
      <c r="L36" s="96">
        <f t="shared" si="3"/>
        <v>3</v>
      </c>
      <c r="M36" s="97" t="s">
        <v>445</v>
      </c>
      <c r="N36" s="97" t="s">
        <v>446</v>
      </c>
      <c r="O36" s="91"/>
      <c r="P36" s="91"/>
      <c r="Q36" s="92" t="s">
        <v>231</v>
      </c>
      <c r="R36" s="91"/>
      <c r="S36" s="98"/>
      <c r="T36" s="91" t="s">
        <v>236</v>
      </c>
      <c r="W36" s="99" t="str">
        <f t="shared" si="4"/>
        <v>Transversal e Idefinido</v>
      </c>
    </row>
    <row r="37">
      <c r="A37" s="90">
        <v>45742.0</v>
      </c>
      <c r="B37" s="91">
        <v>38.0</v>
      </c>
      <c r="C37" s="91" t="s">
        <v>447</v>
      </c>
      <c r="D37" s="92" t="s">
        <v>227</v>
      </c>
      <c r="E37" s="91" t="s">
        <v>200</v>
      </c>
      <c r="F37" s="91" t="s">
        <v>448</v>
      </c>
      <c r="G37" s="93" t="s">
        <v>21</v>
      </c>
      <c r="H37" s="94"/>
      <c r="I37" s="95">
        <f t="shared" si="1"/>
        <v>1</v>
      </c>
      <c r="J37" s="93" t="s">
        <v>23</v>
      </c>
      <c r="K37" s="95">
        <f t="shared" si="2"/>
        <v>3</v>
      </c>
      <c r="L37" s="96">
        <f t="shared" si="3"/>
        <v>3</v>
      </c>
      <c r="M37" s="97" t="s">
        <v>449</v>
      </c>
      <c r="N37" s="97" t="s">
        <v>450</v>
      </c>
      <c r="O37" s="91"/>
      <c r="P37" s="91"/>
      <c r="Q37" s="92" t="s">
        <v>229</v>
      </c>
      <c r="R37" s="91"/>
      <c r="S37" s="98"/>
      <c r="T37" s="91" t="s">
        <v>236</v>
      </c>
      <c r="W37" s="99" t="str">
        <f t="shared" si="4"/>
        <v>Indefinido</v>
      </c>
    </row>
    <row r="38">
      <c r="A38" s="90">
        <v>45742.0</v>
      </c>
      <c r="B38" s="91">
        <v>39.0</v>
      </c>
      <c r="C38" s="91" t="s">
        <v>451</v>
      </c>
      <c r="D38" s="92" t="s">
        <v>227</v>
      </c>
      <c r="E38" s="91" t="s">
        <v>200</v>
      </c>
      <c r="F38" s="91" t="s">
        <v>452</v>
      </c>
      <c r="G38" s="93" t="s">
        <v>21</v>
      </c>
      <c r="H38" s="94"/>
      <c r="I38" s="95">
        <f t="shared" si="1"/>
        <v>1</v>
      </c>
      <c r="J38" s="93" t="s">
        <v>23</v>
      </c>
      <c r="K38" s="95">
        <f t="shared" si="2"/>
        <v>3</v>
      </c>
      <c r="L38" s="96">
        <f t="shared" si="3"/>
        <v>3</v>
      </c>
      <c r="M38" s="97" t="s">
        <v>453</v>
      </c>
      <c r="N38" s="97" t="s">
        <v>454</v>
      </c>
      <c r="O38" s="91"/>
      <c r="P38" s="91"/>
      <c r="Q38" s="92" t="s">
        <v>231</v>
      </c>
      <c r="R38" s="91"/>
      <c r="S38" s="98"/>
      <c r="T38" s="91" t="s">
        <v>236</v>
      </c>
      <c r="W38" s="99" t="str">
        <f t="shared" si="4"/>
        <v>Transversal e Idefinido</v>
      </c>
    </row>
    <row r="39">
      <c r="A39" s="90">
        <v>45742.0</v>
      </c>
      <c r="B39" s="91">
        <v>40.0</v>
      </c>
      <c r="C39" s="91" t="s">
        <v>455</v>
      </c>
      <c r="D39" s="92" t="s">
        <v>227</v>
      </c>
      <c r="E39" s="91" t="s">
        <v>202</v>
      </c>
      <c r="F39" s="91" t="s">
        <v>456</v>
      </c>
      <c r="G39" s="93" t="s">
        <v>21</v>
      </c>
      <c r="H39" s="94"/>
      <c r="I39" s="95">
        <f t="shared" si="1"/>
        <v>1</v>
      </c>
      <c r="J39" s="93" t="s">
        <v>23</v>
      </c>
      <c r="K39" s="95">
        <f t="shared" si="2"/>
        <v>3</v>
      </c>
      <c r="L39" s="96">
        <f t="shared" si="3"/>
        <v>3</v>
      </c>
      <c r="M39" s="97" t="s">
        <v>457</v>
      </c>
      <c r="N39" s="97" t="s">
        <v>458</v>
      </c>
      <c r="O39" s="91"/>
      <c r="P39" s="91"/>
      <c r="Q39" s="92" t="s">
        <v>229</v>
      </c>
      <c r="R39" s="91"/>
      <c r="S39" s="98"/>
      <c r="T39" s="91" t="s">
        <v>236</v>
      </c>
      <c r="W39" s="99" t="str">
        <f t="shared" si="4"/>
        <v>Indefinido</v>
      </c>
    </row>
    <row r="40">
      <c r="A40" s="90">
        <v>45742.0</v>
      </c>
      <c r="B40" s="91">
        <v>41.0</v>
      </c>
      <c r="C40" s="91" t="s">
        <v>459</v>
      </c>
      <c r="D40" s="92" t="s">
        <v>217</v>
      </c>
      <c r="E40" s="91" t="s">
        <v>197</v>
      </c>
      <c r="F40" s="91" t="s">
        <v>460</v>
      </c>
      <c r="G40" s="93" t="s">
        <v>21</v>
      </c>
      <c r="H40" s="94"/>
      <c r="I40" s="95">
        <f t="shared" si="1"/>
        <v>1</v>
      </c>
      <c r="J40" s="93" t="s">
        <v>23</v>
      </c>
      <c r="K40" s="95">
        <f t="shared" si="2"/>
        <v>3</v>
      </c>
      <c r="L40" s="96">
        <f t="shared" si="3"/>
        <v>3</v>
      </c>
      <c r="M40" s="97" t="s">
        <v>461</v>
      </c>
      <c r="N40" s="97" t="s">
        <v>462</v>
      </c>
      <c r="O40" s="91"/>
      <c r="P40" s="91"/>
      <c r="Q40" s="92" t="s">
        <v>230</v>
      </c>
      <c r="R40" s="91" t="s">
        <v>258</v>
      </c>
      <c r="S40" s="98"/>
      <c r="T40" s="91" t="s">
        <v>236</v>
      </c>
      <c r="W40" s="99" t="str">
        <f t="shared" si="4"/>
        <v>Puesta en marcha, Control y Seguimiento</v>
      </c>
    </row>
    <row r="41">
      <c r="A41" s="90">
        <v>45742.0</v>
      </c>
      <c r="B41" s="91">
        <v>42.0</v>
      </c>
      <c r="C41" s="91" t="s">
        <v>463</v>
      </c>
      <c r="D41" s="92" t="s">
        <v>232</v>
      </c>
      <c r="E41" s="91" t="s">
        <v>233</v>
      </c>
      <c r="F41" s="91" t="s">
        <v>464</v>
      </c>
      <c r="G41" s="93" t="s">
        <v>21</v>
      </c>
      <c r="H41" s="94"/>
      <c r="I41" s="95">
        <f t="shared" si="1"/>
        <v>1</v>
      </c>
      <c r="J41" s="93" t="s">
        <v>22</v>
      </c>
      <c r="K41" s="95">
        <f t="shared" si="2"/>
        <v>2</v>
      </c>
      <c r="L41" s="96">
        <f t="shared" si="3"/>
        <v>2</v>
      </c>
      <c r="M41" s="97" t="s">
        <v>465</v>
      </c>
      <c r="N41" s="97" t="s">
        <v>466</v>
      </c>
      <c r="O41" s="91"/>
      <c r="P41" s="91"/>
      <c r="Q41" s="92" t="s">
        <v>230</v>
      </c>
      <c r="R41" s="91" t="s">
        <v>365</v>
      </c>
      <c r="S41" s="98"/>
      <c r="T41" s="91" t="s">
        <v>236</v>
      </c>
      <c r="W41" s="99" t="str">
        <f t="shared" si="4"/>
        <v>Inicio, Planificación</v>
      </c>
    </row>
    <row r="42">
      <c r="A42" s="90">
        <v>45742.0</v>
      </c>
      <c r="B42" s="91">
        <v>43.0</v>
      </c>
      <c r="C42" s="91" t="s">
        <v>467</v>
      </c>
      <c r="D42" s="92" t="s">
        <v>227</v>
      </c>
      <c r="E42" s="91" t="s">
        <v>199</v>
      </c>
      <c r="F42" s="91" t="s">
        <v>468</v>
      </c>
      <c r="G42" s="93" t="s">
        <v>21</v>
      </c>
      <c r="H42" s="94"/>
      <c r="I42" s="95">
        <f t="shared" si="1"/>
        <v>1</v>
      </c>
      <c r="J42" s="93" t="s">
        <v>21</v>
      </c>
      <c r="K42" s="95">
        <f t="shared" si="2"/>
        <v>1</v>
      </c>
      <c r="L42" s="96">
        <f t="shared" si="3"/>
        <v>1</v>
      </c>
      <c r="M42" s="97" t="s">
        <v>469</v>
      </c>
      <c r="N42" s="97" t="s">
        <v>470</v>
      </c>
      <c r="O42" s="91"/>
      <c r="P42" s="91"/>
      <c r="Q42" s="92" t="s">
        <v>223</v>
      </c>
      <c r="R42" s="91"/>
      <c r="S42" s="98"/>
      <c r="T42" s="91" t="s">
        <v>236</v>
      </c>
      <c r="W42" s="99" t="str">
        <f t="shared" si="4"/>
        <v>Control y Seguimiento</v>
      </c>
    </row>
    <row r="43">
      <c r="A43" s="90">
        <v>45742.0</v>
      </c>
      <c r="B43" s="91">
        <v>44.0</v>
      </c>
      <c r="C43" s="91" t="s">
        <v>471</v>
      </c>
      <c r="D43" s="92" t="s">
        <v>217</v>
      </c>
      <c r="E43" s="91" t="s">
        <v>195</v>
      </c>
      <c r="F43" s="91" t="s">
        <v>472</v>
      </c>
      <c r="G43" s="93" t="s">
        <v>21</v>
      </c>
      <c r="H43" s="94"/>
      <c r="I43" s="95">
        <f t="shared" si="1"/>
        <v>1</v>
      </c>
      <c r="J43" s="93" t="s">
        <v>23</v>
      </c>
      <c r="K43" s="95">
        <f t="shared" si="2"/>
        <v>3</v>
      </c>
      <c r="L43" s="96">
        <f t="shared" si="3"/>
        <v>3</v>
      </c>
      <c r="M43" s="97" t="s">
        <v>473</v>
      </c>
      <c r="N43" s="97" t="s">
        <v>474</v>
      </c>
      <c r="O43" s="91"/>
      <c r="P43" s="91"/>
      <c r="Q43" s="92" t="s">
        <v>230</v>
      </c>
      <c r="R43" s="91" t="s">
        <v>291</v>
      </c>
      <c r="S43" s="98"/>
      <c r="T43" s="91" t="s">
        <v>236</v>
      </c>
      <c r="W43" s="99" t="str">
        <f t="shared" si="4"/>
        <v>Control y Seguimiento, Puesta en marcha</v>
      </c>
    </row>
    <row r="44">
      <c r="A44" s="90">
        <v>45742.0</v>
      </c>
      <c r="B44" s="91">
        <v>45.0</v>
      </c>
      <c r="C44" s="91" t="s">
        <v>475</v>
      </c>
      <c r="D44" s="92" t="s">
        <v>227</v>
      </c>
      <c r="E44" s="91" t="s">
        <v>228</v>
      </c>
      <c r="F44" s="91" t="s">
        <v>476</v>
      </c>
      <c r="G44" s="93" t="s">
        <v>21</v>
      </c>
      <c r="H44" s="94"/>
      <c r="I44" s="95">
        <f t="shared" si="1"/>
        <v>1</v>
      </c>
      <c r="J44" s="93" t="s">
        <v>21</v>
      </c>
      <c r="K44" s="95">
        <f t="shared" si="2"/>
        <v>1</v>
      </c>
      <c r="L44" s="96">
        <f t="shared" si="3"/>
        <v>1</v>
      </c>
      <c r="M44" s="97" t="s">
        <v>477</v>
      </c>
      <c r="N44" s="97" t="s">
        <v>478</v>
      </c>
      <c r="O44" s="91"/>
      <c r="P44" s="91"/>
      <c r="Q44" s="92" t="s">
        <v>223</v>
      </c>
      <c r="R44" s="91"/>
      <c r="S44" s="98"/>
      <c r="T44" s="91" t="s">
        <v>236</v>
      </c>
      <c r="W44" s="99" t="str">
        <f t="shared" si="4"/>
        <v>Control y Seguimiento</v>
      </c>
    </row>
    <row r="45">
      <c r="A45" s="90">
        <v>45742.0</v>
      </c>
      <c r="B45" s="91">
        <v>46.0</v>
      </c>
      <c r="C45" s="91" t="s">
        <v>479</v>
      </c>
      <c r="D45" s="92" t="s">
        <v>234</v>
      </c>
      <c r="E45" s="91" t="s">
        <v>235</v>
      </c>
      <c r="F45" s="91" t="s">
        <v>480</v>
      </c>
      <c r="G45" s="93" t="s">
        <v>21</v>
      </c>
      <c r="H45" s="94"/>
      <c r="I45" s="95">
        <f t="shared" si="1"/>
        <v>1</v>
      </c>
      <c r="J45" s="93" t="s">
        <v>23</v>
      </c>
      <c r="K45" s="95">
        <f t="shared" si="2"/>
        <v>3</v>
      </c>
      <c r="L45" s="96">
        <f t="shared" si="3"/>
        <v>3</v>
      </c>
      <c r="M45" s="97" t="s">
        <v>481</v>
      </c>
      <c r="N45" s="97" t="s">
        <v>482</v>
      </c>
      <c r="O45" s="91"/>
      <c r="P45" s="91"/>
      <c r="Q45" s="92" t="s">
        <v>230</v>
      </c>
      <c r="R45" s="91" t="s">
        <v>258</v>
      </c>
      <c r="S45" s="98"/>
      <c r="T45" s="91" t="s">
        <v>236</v>
      </c>
      <c r="W45" s="99" t="str">
        <f t="shared" si="4"/>
        <v>Puesta en marcha, Control y Seguimiento</v>
      </c>
    </row>
    <row r="46">
      <c r="A46" s="90">
        <v>45742.0</v>
      </c>
      <c r="B46" s="91">
        <v>47.0</v>
      </c>
      <c r="C46" s="91" t="s">
        <v>483</v>
      </c>
      <c r="D46" s="92" t="s">
        <v>217</v>
      </c>
      <c r="E46" s="91" t="s">
        <v>195</v>
      </c>
      <c r="F46" s="91" t="s">
        <v>484</v>
      </c>
      <c r="G46" s="93" t="s">
        <v>21</v>
      </c>
      <c r="H46" s="94"/>
      <c r="I46" s="95">
        <f t="shared" si="1"/>
        <v>1</v>
      </c>
      <c r="J46" s="93" t="s">
        <v>23</v>
      </c>
      <c r="K46" s="95">
        <f t="shared" si="2"/>
        <v>3</v>
      </c>
      <c r="L46" s="96">
        <f t="shared" si="3"/>
        <v>3</v>
      </c>
      <c r="M46" s="97" t="s">
        <v>485</v>
      </c>
      <c r="N46" s="97" t="s">
        <v>486</v>
      </c>
      <c r="O46" s="91"/>
      <c r="P46" s="91"/>
      <c r="Q46" s="92" t="s">
        <v>230</v>
      </c>
      <c r="R46" s="91" t="s">
        <v>258</v>
      </c>
      <c r="S46" s="98"/>
      <c r="T46" s="91" t="s">
        <v>236</v>
      </c>
      <c r="W46" s="99" t="str">
        <f t="shared" si="4"/>
        <v>Puesta en marcha, Control y Seguimiento</v>
      </c>
    </row>
    <row r="47">
      <c r="A47" s="90">
        <v>45742.0</v>
      </c>
      <c r="B47" s="91">
        <v>48.0</v>
      </c>
      <c r="C47" s="91" t="s">
        <v>487</v>
      </c>
      <c r="D47" s="92" t="s">
        <v>217</v>
      </c>
      <c r="E47" s="91" t="s">
        <v>198</v>
      </c>
      <c r="F47" s="91" t="s">
        <v>488</v>
      </c>
      <c r="G47" s="93" t="s">
        <v>21</v>
      </c>
      <c r="H47" s="94"/>
      <c r="I47" s="95">
        <f t="shared" si="1"/>
        <v>1</v>
      </c>
      <c r="J47" s="93" t="s">
        <v>21</v>
      </c>
      <c r="K47" s="95">
        <f t="shared" si="2"/>
        <v>1</v>
      </c>
      <c r="L47" s="96">
        <f t="shared" si="3"/>
        <v>1</v>
      </c>
      <c r="M47" s="97" t="s">
        <v>489</v>
      </c>
      <c r="N47" s="97" t="s">
        <v>490</v>
      </c>
      <c r="O47" s="91"/>
      <c r="P47" s="91"/>
      <c r="Q47" s="92" t="s">
        <v>230</v>
      </c>
      <c r="R47" s="91" t="s">
        <v>296</v>
      </c>
      <c r="S47" s="98"/>
      <c r="T47" s="91" t="s">
        <v>236</v>
      </c>
      <c r="W47" s="99" t="str">
        <f t="shared" si="4"/>
        <v>Desarrollo, Puesta en marcha</v>
      </c>
    </row>
    <row r="48">
      <c r="A48" s="90">
        <v>45742.0</v>
      </c>
      <c r="B48" s="91">
        <v>49.0</v>
      </c>
      <c r="C48" s="91" t="s">
        <v>491</v>
      </c>
      <c r="D48" s="92" t="s">
        <v>232</v>
      </c>
      <c r="E48" s="91" t="s">
        <v>203</v>
      </c>
      <c r="F48" s="91" t="s">
        <v>492</v>
      </c>
      <c r="G48" s="93" t="s">
        <v>21</v>
      </c>
      <c r="H48" s="94"/>
      <c r="I48" s="95">
        <f t="shared" si="1"/>
        <v>1</v>
      </c>
      <c r="J48" s="93" t="s">
        <v>23</v>
      </c>
      <c r="K48" s="95">
        <f t="shared" si="2"/>
        <v>3</v>
      </c>
      <c r="L48" s="96">
        <f t="shared" si="3"/>
        <v>3</v>
      </c>
      <c r="M48" s="97" t="s">
        <v>493</v>
      </c>
      <c r="N48" s="97" t="s">
        <v>494</v>
      </c>
      <c r="O48" s="91"/>
      <c r="P48" s="91"/>
      <c r="Q48" s="92" t="s">
        <v>223</v>
      </c>
      <c r="R48" s="91"/>
      <c r="S48" s="98"/>
      <c r="T48" s="91" t="s">
        <v>236</v>
      </c>
      <c r="W48" s="99" t="str">
        <f t="shared" si="4"/>
        <v>Control y Seguimiento</v>
      </c>
    </row>
    <row r="49">
      <c r="A49" s="90">
        <v>45742.0</v>
      </c>
      <c r="B49" s="91">
        <v>50.0</v>
      </c>
      <c r="C49" s="91" t="s">
        <v>495</v>
      </c>
      <c r="D49" s="92" t="s">
        <v>227</v>
      </c>
      <c r="E49" s="91" t="s">
        <v>201</v>
      </c>
      <c r="F49" s="91" t="s">
        <v>496</v>
      </c>
      <c r="G49" s="93" t="s">
        <v>22</v>
      </c>
      <c r="H49" s="94"/>
      <c r="I49" s="95">
        <f t="shared" si="1"/>
        <v>2</v>
      </c>
      <c r="J49" s="93" t="s">
        <v>23</v>
      </c>
      <c r="K49" s="95">
        <f t="shared" si="2"/>
        <v>3</v>
      </c>
      <c r="L49" s="96">
        <f t="shared" si="3"/>
        <v>6</v>
      </c>
      <c r="M49" s="97" t="s">
        <v>497</v>
      </c>
      <c r="N49" s="97" t="s">
        <v>498</v>
      </c>
      <c r="O49" s="91" t="s">
        <v>499</v>
      </c>
      <c r="P49" s="91" t="s">
        <v>500</v>
      </c>
      <c r="Q49" s="92" t="s">
        <v>230</v>
      </c>
      <c r="R49" s="91" t="s">
        <v>291</v>
      </c>
      <c r="S49" s="98"/>
      <c r="T49" s="91" t="s">
        <v>236</v>
      </c>
      <c r="W49" s="99" t="str">
        <f t="shared" si="4"/>
        <v>Control y Seguimiento, Puesta en marcha</v>
      </c>
    </row>
    <row r="50">
      <c r="A50" s="90">
        <v>45742.0</v>
      </c>
      <c r="B50" s="91">
        <v>51.0</v>
      </c>
      <c r="C50" s="91" t="s">
        <v>501</v>
      </c>
      <c r="D50" s="92" t="s">
        <v>227</v>
      </c>
      <c r="E50" s="91" t="s">
        <v>201</v>
      </c>
      <c r="F50" s="91" t="s">
        <v>502</v>
      </c>
      <c r="G50" s="93" t="s">
        <v>23</v>
      </c>
      <c r="H50" s="94" t="s">
        <v>503</v>
      </c>
      <c r="I50" s="95">
        <f t="shared" si="1"/>
        <v>3</v>
      </c>
      <c r="J50" s="93" t="s">
        <v>22</v>
      </c>
      <c r="K50" s="95">
        <f t="shared" si="2"/>
        <v>2</v>
      </c>
      <c r="L50" s="96">
        <f t="shared" si="3"/>
        <v>6</v>
      </c>
      <c r="M50" s="97" t="s">
        <v>504</v>
      </c>
      <c r="N50" s="97" t="s">
        <v>505</v>
      </c>
      <c r="O50" s="91" t="s">
        <v>506</v>
      </c>
      <c r="P50" s="91" t="s">
        <v>507</v>
      </c>
      <c r="Q50" s="92" t="s">
        <v>230</v>
      </c>
      <c r="R50" s="91" t="s">
        <v>296</v>
      </c>
      <c r="S50" s="98"/>
      <c r="T50" s="91" t="s">
        <v>236</v>
      </c>
      <c r="W50" s="99" t="str">
        <f t="shared" si="4"/>
        <v>Desarrollo, Puesta en marcha</v>
      </c>
    </row>
    <row r="51">
      <c r="A51" s="90">
        <v>45742.0</v>
      </c>
      <c r="B51" s="91">
        <v>52.0</v>
      </c>
      <c r="C51" s="91" t="s">
        <v>508</v>
      </c>
      <c r="D51" s="92" t="s">
        <v>217</v>
      </c>
      <c r="E51" s="91" t="s">
        <v>197</v>
      </c>
      <c r="F51" s="91" t="s">
        <v>509</v>
      </c>
      <c r="G51" s="93" t="s">
        <v>21</v>
      </c>
      <c r="H51" s="94"/>
      <c r="I51" s="95">
        <f t="shared" si="1"/>
        <v>1</v>
      </c>
      <c r="J51" s="93" t="s">
        <v>23</v>
      </c>
      <c r="K51" s="95">
        <f t="shared" si="2"/>
        <v>3</v>
      </c>
      <c r="L51" s="96">
        <f t="shared" si="3"/>
        <v>3</v>
      </c>
      <c r="M51" s="97" t="s">
        <v>510</v>
      </c>
      <c r="N51" s="97" t="s">
        <v>511</v>
      </c>
      <c r="O51" s="91"/>
      <c r="P51" s="91"/>
      <c r="Q51" s="92" t="s">
        <v>230</v>
      </c>
      <c r="R51" s="91" t="s">
        <v>512</v>
      </c>
      <c r="S51" s="98"/>
      <c r="T51" s="91" t="s">
        <v>236</v>
      </c>
      <c r="W51" s="99" t="str">
        <f t="shared" si="4"/>
        <v>Planificación, Control y Seguimiento</v>
      </c>
    </row>
    <row r="52">
      <c r="A52" s="90">
        <v>45742.0</v>
      </c>
      <c r="B52" s="91">
        <v>53.0</v>
      </c>
      <c r="C52" s="91" t="s">
        <v>513</v>
      </c>
      <c r="D52" s="92" t="s">
        <v>234</v>
      </c>
      <c r="E52" s="91" t="s">
        <v>207</v>
      </c>
      <c r="F52" s="91" t="s">
        <v>514</v>
      </c>
      <c r="G52" s="93" t="s">
        <v>21</v>
      </c>
      <c r="H52" s="94"/>
      <c r="I52" s="95">
        <f t="shared" si="1"/>
        <v>1</v>
      </c>
      <c r="J52" s="93" t="s">
        <v>21</v>
      </c>
      <c r="K52" s="95">
        <f t="shared" si="2"/>
        <v>1</v>
      </c>
      <c r="L52" s="96">
        <f t="shared" si="3"/>
        <v>1</v>
      </c>
      <c r="M52" s="97" t="s">
        <v>515</v>
      </c>
      <c r="N52" s="97" t="s">
        <v>516</v>
      </c>
      <c r="O52" s="91"/>
      <c r="P52" s="91"/>
      <c r="Q52" s="92" t="s">
        <v>223</v>
      </c>
      <c r="R52" s="91"/>
      <c r="S52" s="98"/>
      <c r="T52" s="91" t="s">
        <v>236</v>
      </c>
      <c r="W52" s="99" t="str">
        <f t="shared" si="4"/>
        <v>Control y Seguimiento</v>
      </c>
    </row>
    <row r="53">
      <c r="A53" s="90">
        <v>45742.0</v>
      </c>
      <c r="B53" s="91">
        <v>54.0</v>
      </c>
      <c r="C53" s="91" t="s">
        <v>517</v>
      </c>
      <c r="D53" s="92" t="s">
        <v>217</v>
      </c>
      <c r="E53" s="91" t="s">
        <v>198</v>
      </c>
      <c r="F53" s="91" t="s">
        <v>518</v>
      </c>
      <c r="G53" s="93" t="s">
        <v>21</v>
      </c>
      <c r="H53" s="94"/>
      <c r="I53" s="95">
        <f t="shared" si="1"/>
        <v>1</v>
      </c>
      <c r="J53" s="93" t="s">
        <v>22</v>
      </c>
      <c r="K53" s="95">
        <f t="shared" si="2"/>
        <v>2</v>
      </c>
      <c r="L53" s="96">
        <f t="shared" si="3"/>
        <v>2</v>
      </c>
      <c r="M53" s="97" t="s">
        <v>414</v>
      </c>
      <c r="N53" s="97" t="s">
        <v>519</v>
      </c>
      <c r="O53" s="91"/>
      <c r="P53" s="91"/>
      <c r="Q53" s="92" t="s">
        <v>223</v>
      </c>
      <c r="R53" s="91"/>
      <c r="S53" s="98"/>
      <c r="T53" s="91" t="s">
        <v>236</v>
      </c>
      <c r="W53" s="99" t="str">
        <f t="shared" si="4"/>
        <v>Control y Seguimiento</v>
      </c>
    </row>
    <row r="54">
      <c r="A54" s="90">
        <v>45742.0</v>
      </c>
      <c r="B54" s="91">
        <v>55.0</v>
      </c>
      <c r="C54" s="91" t="s">
        <v>520</v>
      </c>
      <c r="D54" s="92" t="s">
        <v>217</v>
      </c>
      <c r="E54" s="91" t="s">
        <v>197</v>
      </c>
      <c r="F54" s="91" t="s">
        <v>521</v>
      </c>
      <c r="G54" s="93" t="s">
        <v>21</v>
      </c>
      <c r="H54" s="94"/>
      <c r="I54" s="95">
        <f t="shared" si="1"/>
        <v>1</v>
      </c>
      <c r="J54" s="93" t="s">
        <v>23</v>
      </c>
      <c r="K54" s="95">
        <f t="shared" si="2"/>
        <v>3</v>
      </c>
      <c r="L54" s="96">
        <f t="shared" si="3"/>
        <v>3</v>
      </c>
      <c r="M54" s="97" t="s">
        <v>522</v>
      </c>
      <c r="N54" s="97" t="s">
        <v>523</v>
      </c>
      <c r="O54" s="91"/>
      <c r="P54" s="91"/>
      <c r="Q54" s="92" t="s">
        <v>230</v>
      </c>
      <c r="R54" s="91" t="s">
        <v>291</v>
      </c>
      <c r="S54" s="98"/>
      <c r="T54" s="91" t="s">
        <v>236</v>
      </c>
      <c r="W54" s="99" t="str">
        <f t="shared" si="4"/>
        <v>Control y Seguimiento, Puesta en marcha</v>
      </c>
    </row>
    <row r="55">
      <c r="A55" s="90">
        <v>45742.0</v>
      </c>
      <c r="B55" s="91">
        <v>56.0</v>
      </c>
      <c r="C55" s="100" t="s">
        <v>524</v>
      </c>
      <c r="D55" s="92" t="s">
        <v>232</v>
      </c>
      <c r="E55" s="91" t="s">
        <v>205</v>
      </c>
      <c r="F55" s="91" t="s">
        <v>525</v>
      </c>
      <c r="G55" s="93" t="s">
        <v>22</v>
      </c>
      <c r="H55" s="94"/>
      <c r="I55" s="95">
        <f t="shared" si="1"/>
        <v>2</v>
      </c>
      <c r="J55" s="93" t="s">
        <v>23</v>
      </c>
      <c r="K55" s="95">
        <f t="shared" si="2"/>
        <v>3</v>
      </c>
      <c r="L55" s="96">
        <f t="shared" si="3"/>
        <v>6</v>
      </c>
      <c r="M55" s="97" t="s">
        <v>526</v>
      </c>
      <c r="N55" s="97" t="s">
        <v>527</v>
      </c>
      <c r="O55" s="91" t="s">
        <v>528</v>
      </c>
      <c r="P55" s="91" t="s">
        <v>529</v>
      </c>
      <c r="Q55" s="92" t="s">
        <v>223</v>
      </c>
      <c r="R55" s="91"/>
      <c r="S55" s="98"/>
      <c r="T55" s="91" t="s">
        <v>236</v>
      </c>
      <c r="W55" s="99" t="str">
        <f t="shared" si="4"/>
        <v>Control y Seguimiento</v>
      </c>
    </row>
    <row r="56">
      <c r="A56" s="90">
        <v>45742.0</v>
      </c>
      <c r="B56" s="91">
        <v>57.0</v>
      </c>
      <c r="C56" s="91" t="s">
        <v>530</v>
      </c>
      <c r="D56" s="92" t="s">
        <v>234</v>
      </c>
      <c r="E56" s="91" t="s">
        <v>206</v>
      </c>
      <c r="F56" s="91" t="s">
        <v>531</v>
      </c>
      <c r="G56" s="93" t="s">
        <v>21</v>
      </c>
      <c r="H56" s="94"/>
      <c r="I56" s="95">
        <f t="shared" si="1"/>
        <v>1</v>
      </c>
      <c r="J56" s="93" t="s">
        <v>21</v>
      </c>
      <c r="K56" s="95">
        <f t="shared" si="2"/>
        <v>1</v>
      </c>
      <c r="L56" s="96">
        <f t="shared" si="3"/>
        <v>1</v>
      </c>
      <c r="M56" s="97" t="s">
        <v>532</v>
      </c>
      <c r="N56" s="97" t="s">
        <v>533</v>
      </c>
      <c r="O56" s="91"/>
      <c r="P56" s="91"/>
      <c r="Q56" s="92" t="s">
        <v>230</v>
      </c>
      <c r="R56" s="91" t="s">
        <v>296</v>
      </c>
      <c r="S56" s="98"/>
      <c r="T56" s="91" t="s">
        <v>236</v>
      </c>
      <c r="W56" s="99" t="str">
        <f t="shared" si="4"/>
        <v>Desarrollo, Puesta en marcha</v>
      </c>
    </row>
    <row r="57">
      <c r="A57" s="90">
        <v>45742.0</v>
      </c>
      <c r="B57" s="91">
        <v>58.0</v>
      </c>
      <c r="C57" s="91" t="s">
        <v>534</v>
      </c>
      <c r="D57" s="92" t="s">
        <v>232</v>
      </c>
      <c r="E57" s="91" t="s">
        <v>203</v>
      </c>
      <c r="F57" s="91" t="s">
        <v>535</v>
      </c>
      <c r="G57" s="93" t="s">
        <v>21</v>
      </c>
      <c r="H57" s="94"/>
      <c r="I57" s="95">
        <f t="shared" si="1"/>
        <v>1</v>
      </c>
      <c r="J57" s="93" t="s">
        <v>23</v>
      </c>
      <c r="K57" s="95">
        <f t="shared" si="2"/>
        <v>3</v>
      </c>
      <c r="L57" s="96">
        <f t="shared" si="3"/>
        <v>3</v>
      </c>
      <c r="M57" s="97" t="s">
        <v>536</v>
      </c>
      <c r="N57" s="97" t="s">
        <v>537</v>
      </c>
      <c r="O57" s="91"/>
      <c r="P57" s="91"/>
      <c r="Q57" s="92" t="s">
        <v>223</v>
      </c>
      <c r="R57" s="91"/>
      <c r="S57" s="98"/>
      <c r="T57" s="91" t="s">
        <v>236</v>
      </c>
      <c r="W57" s="99" t="str">
        <f t="shared" si="4"/>
        <v>Control y Seguimiento</v>
      </c>
    </row>
    <row r="58">
      <c r="A58" s="90">
        <v>45742.0</v>
      </c>
      <c r="B58" s="91">
        <v>59.0</v>
      </c>
      <c r="C58" s="91" t="s">
        <v>538</v>
      </c>
      <c r="D58" s="92" t="s">
        <v>217</v>
      </c>
      <c r="E58" s="91" t="s">
        <v>195</v>
      </c>
      <c r="F58" s="91" t="s">
        <v>539</v>
      </c>
      <c r="G58" s="93" t="s">
        <v>21</v>
      </c>
      <c r="H58" s="94"/>
      <c r="I58" s="95">
        <f t="shared" si="1"/>
        <v>1</v>
      </c>
      <c r="J58" s="93" t="s">
        <v>23</v>
      </c>
      <c r="K58" s="95">
        <f t="shared" si="2"/>
        <v>3</v>
      </c>
      <c r="L58" s="96">
        <f t="shared" si="3"/>
        <v>3</v>
      </c>
      <c r="M58" s="97" t="s">
        <v>540</v>
      </c>
      <c r="N58" s="97" t="s">
        <v>541</v>
      </c>
      <c r="O58" s="91"/>
      <c r="P58" s="91"/>
      <c r="Q58" s="92" t="s">
        <v>230</v>
      </c>
      <c r="R58" s="91" t="s">
        <v>291</v>
      </c>
      <c r="S58" s="98"/>
      <c r="T58" s="91" t="s">
        <v>236</v>
      </c>
      <c r="W58" s="99" t="str">
        <f t="shared" si="4"/>
        <v>Control y Seguimiento, Puesta en marcha</v>
      </c>
    </row>
    <row r="59">
      <c r="A59" s="90">
        <v>45742.0</v>
      </c>
      <c r="B59" s="91">
        <v>60.0</v>
      </c>
      <c r="C59" s="91" t="s">
        <v>542</v>
      </c>
      <c r="D59" s="92" t="s">
        <v>234</v>
      </c>
      <c r="E59" s="91" t="s">
        <v>206</v>
      </c>
      <c r="F59" s="91" t="s">
        <v>543</v>
      </c>
      <c r="G59" s="93" t="s">
        <v>21</v>
      </c>
      <c r="H59" s="94"/>
      <c r="I59" s="95">
        <f t="shared" si="1"/>
        <v>1</v>
      </c>
      <c r="J59" s="93" t="s">
        <v>22</v>
      </c>
      <c r="K59" s="95">
        <f t="shared" si="2"/>
        <v>2</v>
      </c>
      <c r="L59" s="96">
        <f t="shared" si="3"/>
        <v>2</v>
      </c>
      <c r="M59" s="97" t="s">
        <v>544</v>
      </c>
      <c r="N59" s="97" t="s">
        <v>545</v>
      </c>
      <c r="O59" s="91"/>
      <c r="P59" s="91"/>
      <c r="Q59" s="92" t="s">
        <v>230</v>
      </c>
      <c r="R59" s="91" t="s">
        <v>296</v>
      </c>
      <c r="S59" s="98"/>
      <c r="T59" s="91" t="s">
        <v>236</v>
      </c>
      <c r="W59" s="99" t="str">
        <f t="shared" si="4"/>
        <v>Desarrollo, Puesta en marcha</v>
      </c>
    </row>
    <row r="60">
      <c r="A60" s="90">
        <v>45742.0</v>
      </c>
      <c r="B60" s="91">
        <v>61.0</v>
      </c>
      <c r="C60" s="91" t="s">
        <v>546</v>
      </c>
      <c r="D60" s="92" t="s">
        <v>227</v>
      </c>
      <c r="E60" s="91" t="s">
        <v>199</v>
      </c>
      <c r="F60" s="91" t="s">
        <v>547</v>
      </c>
      <c r="G60" s="93" t="s">
        <v>21</v>
      </c>
      <c r="H60" s="94"/>
      <c r="I60" s="95">
        <f t="shared" si="1"/>
        <v>1</v>
      </c>
      <c r="J60" s="93" t="s">
        <v>22</v>
      </c>
      <c r="K60" s="95">
        <f t="shared" si="2"/>
        <v>2</v>
      </c>
      <c r="L60" s="96">
        <f t="shared" si="3"/>
        <v>2</v>
      </c>
      <c r="M60" s="97" t="s">
        <v>548</v>
      </c>
      <c r="N60" s="97" t="s">
        <v>549</v>
      </c>
      <c r="O60" s="91"/>
      <c r="P60" s="91"/>
      <c r="Q60" s="92" t="s">
        <v>223</v>
      </c>
      <c r="R60" s="91"/>
      <c r="S60" s="98"/>
      <c r="T60" s="91" t="s">
        <v>236</v>
      </c>
      <c r="W60" s="99" t="str">
        <f t="shared" si="4"/>
        <v>Control y Seguimiento</v>
      </c>
    </row>
    <row r="61">
      <c r="A61" s="90">
        <v>45742.0</v>
      </c>
      <c r="B61" s="91">
        <v>62.0</v>
      </c>
      <c r="C61" s="91" t="s">
        <v>550</v>
      </c>
      <c r="D61" s="92" t="s">
        <v>232</v>
      </c>
      <c r="E61" s="91" t="s">
        <v>205</v>
      </c>
      <c r="F61" s="91" t="s">
        <v>551</v>
      </c>
      <c r="G61" s="93" t="s">
        <v>21</v>
      </c>
      <c r="H61" s="94"/>
      <c r="I61" s="95">
        <f t="shared" si="1"/>
        <v>1</v>
      </c>
      <c r="J61" s="93" t="s">
        <v>22</v>
      </c>
      <c r="K61" s="95">
        <f t="shared" si="2"/>
        <v>2</v>
      </c>
      <c r="L61" s="96">
        <f t="shared" si="3"/>
        <v>2</v>
      </c>
      <c r="M61" s="97" t="s">
        <v>552</v>
      </c>
      <c r="N61" s="97" t="s">
        <v>553</v>
      </c>
      <c r="O61" s="91"/>
      <c r="P61" s="91"/>
      <c r="Q61" s="92" t="s">
        <v>223</v>
      </c>
      <c r="R61" s="91" t="s">
        <v>236</v>
      </c>
      <c r="S61" s="98"/>
      <c r="T61" s="91" t="s">
        <v>236</v>
      </c>
      <c r="W61" s="99" t="str">
        <f t="shared" si="4"/>
        <v>Control y Seguimiento</v>
      </c>
    </row>
    <row r="62">
      <c r="A62" s="90">
        <v>45749.0</v>
      </c>
      <c r="B62" s="91">
        <v>63.0</v>
      </c>
      <c r="C62" s="91" t="s">
        <v>554</v>
      </c>
      <c r="D62" s="92" t="s">
        <v>232</v>
      </c>
      <c r="E62" s="91" t="s">
        <v>204</v>
      </c>
      <c r="F62" s="91" t="s">
        <v>555</v>
      </c>
      <c r="G62" s="93" t="s">
        <v>21</v>
      </c>
      <c r="H62" s="94"/>
      <c r="I62" s="95">
        <f t="shared" si="1"/>
        <v>1</v>
      </c>
      <c r="J62" s="93" t="s">
        <v>23</v>
      </c>
      <c r="K62" s="95">
        <f t="shared" si="2"/>
        <v>3</v>
      </c>
      <c r="L62" s="96">
        <f t="shared" si="3"/>
        <v>3</v>
      </c>
      <c r="M62" s="97" t="s">
        <v>556</v>
      </c>
      <c r="N62" s="97" t="s">
        <v>557</v>
      </c>
      <c r="O62" s="91"/>
      <c r="P62" s="91"/>
      <c r="Q62" s="92" t="s">
        <v>230</v>
      </c>
      <c r="R62" s="91" t="s">
        <v>365</v>
      </c>
      <c r="S62" s="98"/>
      <c r="T62" s="91" t="s">
        <v>236</v>
      </c>
      <c r="W62" s="99" t="str">
        <f t="shared" si="4"/>
        <v>Inicio, Planificación</v>
      </c>
    </row>
    <row r="63">
      <c r="A63" s="90">
        <v>45749.0</v>
      </c>
      <c r="B63" s="91">
        <v>64.0</v>
      </c>
      <c r="C63" s="91" t="s">
        <v>558</v>
      </c>
      <c r="D63" s="92" t="s">
        <v>232</v>
      </c>
      <c r="E63" s="91" t="s">
        <v>205</v>
      </c>
      <c r="F63" s="91" t="s">
        <v>559</v>
      </c>
      <c r="G63" s="93" t="s">
        <v>22</v>
      </c>
      <c r="H63" s="94"/>
      <c r="I63" s="95">
        <f t="shared" si="1"/>
        <v>2</v>
      </c>
      <c r="J63" s="93" t="s">
        <v>23</v>
      </c>
      <c r="K63" s="95">
        <f t="shared" si="2"/>
        <v>3</v>
      </c>
      <c r="L63" s="96">
        <f t="shared" si="3"/>
        <v>6</v>
      </c>
      <c r="M63" s="97" t="s">
        <v>560</v>
      </c>
      <c r="N63" s="97" t="s">
        <v>561</v>
      </c>
      <c r="O63" s="91" t="s">
        <v>562</v>
      </c>
      <c r="P63" s="91" t="s">
        <v>563</v>
      </c>
      <c r="Q63" s="92" t="s">
        <v>231</v>
      </c>
      <c r="R63" s="91"/>
      <c r="S63" s="98"/>
      <c r="T63" s="91" t="s">
        <v>236</v>
      </c>
      <c r="W63" s="99" t="str">
        <f t="shared" si="4"/>
        <v>Transversal e Idefinido</v>
      </c>
    </row>
    <row r="64">
      <c r="A64" s="90">
        <v>45749.0</v>
      </c>
      <c r="B64" s="91">
        <v>65.0</v>
      </c>
      <c r="C64" s="91" t="s">
        <v>564</v>
      </c>
      <c r="D64" s="92" t="s">
        <v>232</v>
      </c>
      <c r="E64" s="91" t="s">
        <v>233</v>
      </c>
      <c r="F64" s="91" t="s">
        <v>565</v>
      </c>
      <c r="G64" s="93" t="s">
        <v>21</v>
      </c>
      <c r="H64" s="94"/>
      <c r="I64" s="95">
        <f t="shared" si="1"/>
        <v>1</v>
      </c>
      <c r="J64" s="93" t="s">
        <v>22</v>
      </c>
      <c r="K64" s="95">
        <f t="shared" si="2"/>
        <v>2</v>
      </c>
      <c r="L64" s="96">
        <f t="shared" si="3"/>
        <v>2</v>
      </c>
      <c r="M64" s="97" t="s">
        <v>566</v>
      </c>
      <c r="N64" s="97" t="s">
        <v>567</v>
      </c>
      <c r="O64" s="91"/>
      <c r="P64" s="91"/>
      <c r="Q64" s="92" t="s">
        <v>231</v>
      </c>
      <c r="R64" s="91"/>
      <c r="S64" s="98"/>
      <c r="T64" s="91" t="s">
        <v>236</v>
      </c>
      <c r="W64" s="99" t="str">
        <f t="shared" si="4"/>
        <v>Transversal e Idefinido</v>
      </c>
    </row>
    <row r="65">
      <c r="A65" s="90">
        <v>45749.0</v>
      </c>
      <c r="B65" s="91">
        <v>66.0</v>
      </c>
      <c r="C65" s="91" t="s">
        <v>568</v>
      </c>
      <c r="D65" s="92" t="s">
        <v>232</v>
      </c>
      <c r="E65" s="91" t="s">
        <v>233</v>
      </c>
      <c r="F65" s="91" t="s">
        <v>569</v>
      </c>
      <c r="G65" s="93" t="s">
        <v>23</v>
      </c>
      <c r="H65" s="94" t="s">
        <v>570</v>
      </c>
      <c r="I65" s="95">
        <f t="shared" si="1"/>
        <v>3</v>
      </c>
      <c r="J65" s="93" t="s">
        <v>23</v>
      </c>
      <c r="K65" s="95">
        <f t="shared" si="2"/>
        <v>3</v>
      </c>
      <c r="L65" s="96">
        <f t="shared" si="3"/>
        <v>9</v>
      </c>
      <c r="M65" s="97" t="s">
        <v>571</v>
      </c>
      <c r="N65" s="97" t="s">
        <v>572</v>
      </c>
      <c r="O65" s="91" t="s">
        <v>573</v>
      </c>
      <c r="P65" s="91" t="s">
        <v>574</v>
      </c>
      <c r="Q65" s="92" t="s">
        <v>231</v>
      </c>
      <c r="R65" s="91"/>
      <c r="S65" s="98"/>
      <c r="T65" s="91" t="s">
        <v>236</v>
      </c>
      <c r="W65" s="99" t="str">
        <f t="shared" si="4"/>
        <v>Transversal e Idefinido</v>
      </c>
    </row>
    <row r="66">
      <c r="A66" s="90">
        <v>45749.0</v>
      </c>
      <c r="B66" s="91">
        <v>67.0</v>
      </c>
      <c r="C66" s="91" t="s">
        <v>575</v>
      </c>
      <c r="D66" s="92" t="s">
        <v>232</v>
      </c>
      <c r="E66" s="91" t="s">
        <v>233</v>
      </c>
      <c r="F66" s="91" t="s">
        <v>576</v>
      </c>
      <c r="G66" s="93" t="s">
        <v>23</v>
      </c>
      <c r="H66" s="94" t="s">
        <v>577</v>
      </c>
      <c r="I66" s="95">
        <f t="shared" si="1"/>
        <v>3</v>
      </c>
      <c r="J66" s="93" t="s">
        <v>22</v>
      </c>
      <c r="K66" s="95">
        <f t="shared" si="2"/>
        <v>2</v>
      </c>
      <c r="L66" s="96">
        <f t="shared" si="3"/>
        <v>6</v>
      </c>
      <c r="M66" s="97" t="s">
        <v>578</v>
      </c>
      <c r="N66" s="97" t="s">
        <v>579</v>
      </c>
      <c r="O66" s="91" t="s">
        <v>580</v>
      </c>
      <c r="P66" s="91" t="s">
        <v>581</v>
      </c>
      <c r="Q66" s="92" t="s">
        <v>231</v>
      </c>
      <c r="R66" s="91"/>
      <c r="S66" s="98"/>
      <c r="T66" s="91" t="s">
        <v>236</v>
      </c>
      <c r="W66" s="99" t="str">
        <f t="shared" si="4"/>
        <v>Transversal e Idefinido</v>
      </c>
    </row>
    <row r="67">
      <c r="A67" s="90">
        <v>45749.0</v>
      </c>
      <c r="B67" s="91">
        <v>68.0</v>
      </c>
      <c r="C67" s="91" t="s">
        <v>582</v>
      </c>
      <c r="D67" s="92" t="s">
        <v>232</v>
      </c>
      <c r="E67" s="91" t="s">
        <v>205</v>
      </c>
      <c r="F67" s="91" t="s">
        <v>583</v>
      </c>
      <c r="G67" s="93" t="s">
        <v>22</v>
      </c>
      <c r="H67" s="94"/>
      <c r="I67" s="95">
        <f t="shared" si="1"/>
        <v>2</v>
      </c>
      <c r="J67" s="93" t="s">
        <v>21</v>
      </c>
      <c r="K67" s="95">
        <f t="shared" si="2"/>
        <v>1</v>
      </c>
      <c r="L67" s="96">
        <f t="shared" si="3"/>
        <v>2</v>
      </c>
      <c r="M67" s="97" t="s">
        <v>584</v>
      </c>
      <c r="N67" s="97" t="s">
        <v>585</v>
      </c>
      <c r="O67" s="91" t="s">
        <v>586</v>
      </c>
      <c r="P67" s="91" t="s">
        <v>587</v>
      </c>
      <c r="Q67" s="92" t="s">
        <v>223</v>
      </c>
      <c r="R67" s="91"/>
      <c r="S67" s="98"/>
      <c r="T67" s="91" t="s">
        <v>236</v>
      </c>
      <c r="W67" s="99" t="str">
        <f t="shared" si="4"/>
        <v>Control y Seguimiento</v>
      </c>
    </row>
    <row r="68">
      <c r="A68" s="90">
        <v>45749.0</v>
      </c>
      <c r="B68" s="91">
        <v>69.0</v>
      </c>
      <c r="C68" s="91" t="s">
        <v>588</v>
      </c>
      <c r="D68" s="92" t="s">
        <v>232</v>
      </c>
      <c r="E68" s="91" t="s">
        <v>233</v>
      </c>
      <c r="F68" s="91" t="s">
        <v>589</v>
      </c>
      <c r="G68" s="93" t="s">
        <v>22</v>
      </c>
      <c r="H68" s="94"/>
      <c r="I68" s="95">
        <f t="shared" si="1"/>
        <v>2</v>
      </c>
      <c r="J68" s="93" t="s">
        <v>21</v>
      </c>
      <c r="K68" s="95">
        <f t="shared" si="2"/>
        <v>1</v>
      </c>
      <c r="L68" s="96">
        <f t="shared" si="3"/>
        <v>2</v>
      </c>
      <c r="M68" s="97" t="s">
        <v>590</v>
      </c>
      <c r="N68" s="97" t="s">
        <v>591</v>
      </c>
      <c r="O68" s="91" t="s">
        <v>592</v>
      </c>
      <c r="P68" s="91" t="s">
        <v>593</v>
      </c>
      <c r="Q68" s="92" t="s">
        <v>231</v>
      </c>
      <c r="R68" s="91"/>
      <c r="S68" s="98"/>
      <c r="T68" s="91" t="s">
        <v>236</v>
      </c>
      <c r="W68" s="99" t="str">
        <f t="shared" si="4"/>
        <v>Transversal e Idefinido</v>
      </c>
    </row>
    <row r="69">
      <c r="A69" s="90">
        <v>45749.0</v>
      </c>
      <c r="B69" s="91">
        <v>70.0</v>
      </c>
      <c r="C69" s="91" t="s">
        <v>594</v>
      </c>
      <c r="D69" s="92" t="s">
        <v>232</v>
      </c>
      <c r="E69" s="91" t="s">
        <v>233</v>
      </c>
      <c r="F69" s="91" t="s">
        <v>595</v>
      </c>
      <c r="G69" s="93" t="s">
        <v>22</v>
      </c>
      <c r="H69" s="94"/>
      <c r="I69" s="95">
        <f t="shared" si="1"/>
        <v>2</v>
      </c>
      <c r="J69" s="93" t="s">
        <v>21</v>
      </c>
      <c r="K69" s="95">
        <f t="shared" si="2"/>
        <v>1</v>
      </c>
      <c r="L69" s="96">
        <f t="shared" si="3"/>
        <v>2</v>
      </c>
      <c r="M69" s="97" t="s">
        <v>596</v>
      </c>
      <c r="N69" s="97" t="s">
        <v>597</v>
      </c>
      <c r="O69" s="91" t="s">
        <v>598</v>
      </c>
      <c r="P69" s="91" t="s">
        <v>599</v>
      </c>
      <c r="Q69" s="92" t="s">
        <v>223</v>
      </c>
      <c r="R69" s="91"/>
      <c r="S69" s="98"/>
      <c r="T69" s="91" t="s">
        <v>236</v>
      </c>
      <c r="W69" s="99" t="str">
        <f t="shared" si="4"/>
        <v>Control y Seguimiento</v>
      </c>
    </row>
    <row r="70">
      <c r="A70" s="90">
        <v>45749.0</v>
      </c>
      <c r="B70" s="91">
        <v>71.0</v>
      </c>
      <c r="C70" s="91" t="s">
        <v>600</v>
      </c>
      <c r="D70" s="92" t="s">
        <v>232</v>
      </c>
      <c r="E70" s="91" t="s">
        <v>203</v>
      </c>
      <c r="F70" s="91" t="s">
        <v>601</v>
      </c>
      <c r="G70" s="93" t="s">
        <v>21</v>
      </c>
      <c r="H70" s="94"/>
      <c r="I70" s="95">
        <f t="shared" si="1"/>
        <v>1</v>
      </c>
      <c r="J70" s="93" t="s">
        <v>21</v>
      </c>
      <c r="K70" s="95">
        <f t="shared" si="2"/>
        <v>1</v>
      </c>
      <c r="L70" s="96">
        <f t="shared" si="3"/>
        <v>1</v>
      </c>
      <c r="M70" s="97" t="s">
        <v>602</v>
      </c>
      <c r="N70" s="97" t="s">
        <v>603</v>
      </c>
      <c r="O70" s="91"/>
      <c r="P70" s="91"/>
      <c r="Q70" s="92" t="s">
        <v>231</v>
      </c>
      <c r="R70" s="91"/>
      <c r="S70" s="98"/>
      <c r="T70" s="91" t="s">
        <v>236</v>
      </c>
      <c r="W70" s="99" t="str">
        <f t="shared" si="4"/>
        <v>Transversal e Idefinido</v>
      </c>
    </row>
    <row r="71">
      <c r="A71" s="90">
        <v>45749.0</v>
      </c>
      <c r="B71" s="91">
        <v>72.0</v>
      </c>
      <c r="C71" s="91" t="s">
        <v>604</v>
      </c>
      <c r="D71" s="92" t="s">
        <v>217</v>
      </c>
      <c r="E71" s="91" t="s">
        <v>197</v>
      </c>
      <c r="F71" s="91" t="s">
        <v>605</v>
      </c>
      <c r="G71" s="93" t="s">
        <v>22</v>
      </c>
      <c r="H71" s="94"/>
      <c r="I71" s="95">
        <f t="shared" si="1"/>
        <v>2</v>
      </c>
      <c r="J71" s="93" t="s">
        <v>23</v>
      </c>
      <c r="K71" s="95">
        <f t="shared" si="2"/>
        <v>3</v>
      </c>
      <c r="L71" s="96">
        <f t="shared" si="3"/>
        <v>6</v>
      </c>
      <c r="M71" s="97" t="s">
        <v>606</v>
      </c>
      <c r="N71" s="97" t="s">
        <v>607</v>
      </c>
      <c r="O71" s="91" t="s">
        <v>608</v>
      </c>
      <c r="P71" s="91" t="s">
        <v>609</v>
      </c>
      <c r="Q71" s="92" t="s">
        <v>230</v>
      </c>
      <c r="R71" s="91" t="s">
        <v>296</v>
      </c>
      <c r="S71" s="98">
        <v>2000000.0</v>
      </c>
      <c r="T71" s="91" t="s">
        <v>259</v>
      </c>
      <c r="W71" s="99" t="str">
        <f t="shared" si="4"/>
        <v>Desarrollo, Puesta en marcha</v>
      </c>
    </row>
    <row r="72">
      <c r="A72" s="90">
        <v>45749.0</v>
      </c>
      <c r="B72" s="91">
        <v>73.0</v>
      </c>
      <c r="C72" s="91" t="s">
        <v>610</v>
      </c>
      <c r="D72" s="92" t="s">
        <v>227</v>
      </c>
      <c r="E72" s="91" t="s">
        <v>200</v>
      </c>
      <c r="F72" s="91" t="s">
        <v>611</v>
      </c>
      <c r="G72" s="93" t="s">
        <v>21</v>
      </c>
      <c r="H72" s="94"/>
      <c r="I72" s="95">
        <f t="shared" si="1"/>
        <v>1</v>
      </c>
      <c r="J72" s="93" t="s">
        <v>23</v>
      </c>
      <c r="K72" s="95">
        <f t="shared" si="2"/>
        <v>3</v>
      </c>
      <c r="L72" s="96">
        <f t="shared" si="3"/>
        <v>3</v>
      </c>
      <c r="M72" s="97" t="s">
        <v>612</v>
      </c>
      <c r="N72" s="97" t="s">
        <v>613</v>
      </c>
      <c r="O72" s="91"/>
      <c r="P72" s="91"/>
      <c r="Q72" s="92" t="s">
        <v>229</v>
      </c>
      <c r="R72" s="91"/>
      <c r="S72" s="98"/>
      <c r="T72" s="91" t="s">
        <v>236</v>
      </c>
      <c r="W72" s="99" t="str">
        <f t="shared" si="4"/>
        <v>Indefinido</v>
      </c>
    </row>
    <row r="73">
      <c r="A73" s="90">
        <v>45749.0</v>
      </c>
      <c r="B73" s="91">
        <v>74.0</v>
      </c>
      <c r="C73" s="91" t="s">
        <v>614</v>
      </c>
      <c r="D73" s="92" t="s">
        <v>217</v>
      </c>
      <c r="E73" s="91" t="s">
        <v>197</v>
      </c>
      <c r="F73" s="91" t="s">
        <v>615</v>
      </c>
      <c r="G73" s="93" t="s">
        <v>22</v>
      </c>
      <c r="H73" s="94"/>
      <c r="I73" s="95">
        <f t="shared" si="1"/>
        <v>2</v>
      </c>
      <c r="J73" s="93" t="s">
        <v>22</v>
      </c>
      <c r="K73" s="95">
        <f t="shared" si="2"/>
        <v>2</v>
      </c>
      <c r="L73" s="96">
        <f t="shared" si="3"/>
        <v>4</v>
      </c>
      <c r="M73" s="97" t="s">
        <v>616</v>
      </c>
      <c r="N73" s="97" t="s">
        <v>617</v>
      </c>
      <c r="O73" s="91" t="s">
        <v>618</v>
      </c>
      <c r="P73" s="91" t="s">
        <v>619</v>
      </c>
      <c r="Q73" s="92" t="s">
        <v>230</v>
      </c>
      <c r="R73" s="91" t="s">
        <v>258</v>
      </c>
      <c r="S73" s="98"/>
      <c r="T73" s="91" t="s">
        <v>236</v>
      </c>
      <c r="W73" s="99" t="str">
        <f t="shared" si="4"/>
        <v>Puesta en marcha, Control y Seguimiento</v>
      </c>
    </row>
    <row r="74">
      <c r="A74" s="90">
        <v>45749.0</v>
      </c>
      <c r="B74" s="91">
        <v>75.0</v>
      </c>
      <c r="C74" s="91" t="s">
        <v>620</v>
      </c>
      <c r="D74" s="92" t="s">
        <v>227</v>
      </c>
      <c r="E74" s="91" t="s">
        <v>200</v>
      </c>
      <c r="F74" s="91" t="s">
        <v>621</v>
      </c>
      <c r="G74" s="93" t="s">
        <v>21</v>
      </c>
      <c r="H74" s="94"/>
      <c r="I74" s="95">
        <f t="shared" si="1"/>
        <v>1</v>
      </c>
      <c r="J74" s="93" t="s">
        <v>22</v>
      </c>
      <c r="K74" s="95">
        <f t="shared" si="2"/>
        <v>2</v>
      </c>
      <c r="L74" s="96">
        <f t="shared" si="3"/>
        <v>2</v>
      </c>
      <c r="M74" s="97" t="s">
        <v>622</v>
      </c>
      <c r="N74" s="97" t="s">
        <v>623</v>
      </c>
      <c r="O74" s="91"/>
      <c r="P74" s="91"/>
      <c r="Q74" s="92" t="s">
        <v>223</v>
      </c>
      <c r="R74" s="91"/>
      <c r="S74" s="98"/>
      <c r="T74" s="91" t="s">
        <v>236</v>
      </c>
      <c r="W74" s="99" t="str">
        <f t="shared" si="4"/>
        <v>Control y Seguimiento</v>
      </c>
    </row>
    <row r="75">
      <c r="A75" s="90">
        <v>45749.0</v>
      </c>
      <c r="B75" s="91">
        <v>76.0</v>
      </c>
      <c r="C75" s="91" t="s">
        <v>624</v>
      </c>
      <c r="D75" s="92" t="s">
        <v>227</v>
      </c>
      <c r="E75" s="91" t="s">
        <v>228</v>
      </c>
      <c r="F75" s="91" t="s">
        <v>625</v>
      </c>
      <c r="G75" s="93" t="s">
        <v>22</v>
      </c>
      <c r="H75" s="91"/>
      <c r="I75" s="95">
        <f t="shared" si="1"/>
        <v>2</v>
      </c>
      <c r="J75" s="93" t="s">
        <v>23</v>
      </c>
      <c r="K75" s="95">
        <f t="shared" si="2"/>
        <v>3</v>
      </c>
      <c r="L75" s="96">
        <f t="shared" si="3"/>
        <v>6</v>
      </c>
      <c r="M75" s="97" t="s">
        <v>626</v>
      </c>
      <c r="N75" s="97" t="s">
        <v>627</v>
      </c>
      <c r="O75" s="91" t="s">
        <v>628</v>
      </c>
      <c r="P75" s="91" t="s">
        <v>629</v>
      </c>
      <c r="Q75" s="92" t="s">
        <v>229</v>
      </c>
      <c r="R75" s="91"/>
      <c r="S75" s="98"/>
      <c r="T75" s="91" t="s">
        <v>236</v>
      </c>
      <c r="W75" s="99" t="str">
        <f t="shared" si="4"/>
        <v>Indefinido</v>
      </c>
    </row>
    <row r="76">
      <c r="A76" s="90">
        <v>45749.0</v>
      </c>
      <c r="B76" s="91">
        <v>77.0</v>
      </c>
      <c r="C76" s="91" t="s">
        <v>630</v>
      </c>
      <c r="D76" s="92" t="s">
        <v>217</v>
      </c>
      <c r="E76" s="91" t="s">
        <v>196</v>
      </c>
      <c r="F76" s="91" t="s">
        <v>631</v>
      </c>
      <c r="G76" s="93" t="s">
        <v>23</v>
      </c>
      <c r="H76" s="91" t="s">
        <v>632</v>
      </c>
      <c r="I76" s="95">
        <f t="shared" si="1"/>
        <v>3</v>
      </c>
      <c r="J76" s="93" t="s">
        <v>23</v>
      </c>
      <c r="K76" s="95">
        <f t="shared" si="2"/>
        <v>3</v>
      </c>
      <c r="L76" s="96">
        <f t="shared" si="3"/>
        <v>9</v>
      </c>
      <c r="M76" s="97" t="s">
        <v>633</v>
      </c>
      <c r="N76" s="97" t="s">
        <v>634</v>
      </c>
      <c r="O76" s="91" t="s">
        <v>635</v>
      </c>
      <c r="P76" s="91" t="s">
        <v>636</v>
      </c>
      <c r="Q76" s="92" t="s">
        <v>221</v>
      </c>
      <c r="R76" s="91"/>
      <c r="S76" s="98"/>
      <c r="T76" s="91" t="s">
        <v>236</v>
      </c>
      <c r="W76" s="99" t="str">
        <f t="shared" si="4"/>
        <v>Desarrollo</v>
      </c>
    </row>
    <row r="77">
      <c r="A77" s="90">
        <v>45749.0</v>
      </c>
      <c r="B77" s="91">
        <v>79.0</v>
      </c>
      <c r="C77" s="91" t="s">
        <v>637</v>
      </c>
      <c r="D77" s="92" t="s">
        <v>217</v>
      </c>
      <c r="E77" s="91" t="s">
        <v>225</v>
      </c>
      <c r="F77" s="91" t="s">
        <v>638</v>
      </c>
      <c r="G77" s="93" t="s">
        <v>23</v>
      </c>
      <c r="H77" s="91" t="s">
        <v>639</v>
      </c>
      <c r="I77" s="95">
        <f t="shared" si="1"/>
        <v>3</v>
      </c>
      <c r="J77" s="93" t="s">
        <v>21</v>
      </c>
      <c r="K77" s="95">
        <f t="shared" si="2"/>
        <v>1</v>
      </c>
      <c r="L77" s="96">
        <f t="shared" si="3"/>
        <v>3</v>
      </c>
      <c r="M77" s="97" t="s">
        <v>640</v>
      </c>
      <c r="N77" s="97" t="s">
        <v>641</v>
      </c>
      <c r="O77" s="91" t="s">
        <v>642</v>
      </c>
      <c r="P77" s="91" t="s">
        <v>643</v>
      </c>
      <c r="Q77" s="92" t="s">
        <v>230</v>
      </c>
      <c r="R77" s="91" t="s">
        <v>644</v>
      </c>
      <c r="S77" s="98">
        <v>1000000.0</v>
      </c>
      <c r="T77" s="91" t="s">
        <v>259</v>
      </c>
      <c r="W77" s="99" t="str">
        <f t="shared" si="4"/>
        <v>Planificación, Puesta en marcha</v>
      </c>
    </row>
    <row r="78">
      <c r="A78" s="90">
        <v>45749.0</v>
      </c>
      <c r="B78" s="91">
        <v>80.0</v>
      </c>
      <c r="C78" s="91" t="s">
        <v>645</v>
      </c>
      <c r="D78" s="92" t="s">
        <v>234</v>
      </c>
      <c r="E78" s="91" t="s">
        <v>235</v>
      </c>
      <c r="F78" s="91" t="s">
        <v>646</v>
      </c>
      <c r="G78" s="93" t="s">
        <v>22</v>
      </c>
      <c r="H78" s="91"/>
      <c r="I78" s="95">
        <f t="shared" si="1"/>
        <v>2</v>
      </c>
      <c r="J78" s="93" t="s">
        <v>23</v>
      </c>
      <c r="K78" s="95">
        <f t="shared" si="2"/>
        <v>3</v>
      </c>
      <c r="L78" s="96">
        <f t="shared" si="3"/>
        <v>6</v>
      </c>
      <c r="M78" s="97" t="s">
        <v>647</v>
      </c>
      <c r="N78" s="97" t="s">
        <v>648</v>
      </c>
      <c r="O78" s="91" t="s">
        <v>649</v>
      </c>
      <c r="P78" s="91" t="s">
        <v>650</v>
      </c>
      <c r="Q78" s="92" t="s">
        <v>230</v>
      </c>
      <c r="R78" s="91" t="s">
        <v>258</v>
      </c>
      <c r="S78" s="98"/>
      <c r="T78" s="91" t="s">
        <v>236</v>
      </c>
      <c r="W78" s="99" t="str">
        <f t="shared" si="4"/>
        <v>Puesta en marcha, Control y Seguimiento</v>
      </c>
    </row>
    <row r="79">
      <c r="A79" s="90">
        <v>45749.0</v>
      </c>
      <c r="B79" s="91">
        <v>81.0</v>
      </c>
      <c r="C79" s="91" t="s">
        <v>651</v>
      </c>
      <c r="D79" s="92" t="s">
        <v>217</v>
      </c>
      <c r="E79" s="91" t="s">
        <v>198</v>
      </c>
      <c r="F79" s="91" t="s">
        <v>652</v>
      </c>
      <c r="G79" s="93" t="s">
        <v>22</v>
      </c>
      <c r="H79" s="91"/>
      <c r="I79" s="95">
        <f t="shared" si="1"/>
        <v>2</v>
      </c>
      <c r="J79" s="93" t="s">
        <v>23</v>
      </c>
      <c r="K79" s="95">
        <f t="shared" si="2"/>
        <v>3</v>
      </c>
      <c r="L79" s="96">
        <f t="shared" si="3"/>
        <v>6</v>
      </c>
      <c r="M79" s="97" t="s">
        <v>653</v>
      </c>
      <c r="N79" s="97" t="s">
        <v>654</v>
      </c>
      <c r="O79" s="91" t="s">
        <v>655</v>
      </c>
      <c r="P79" s="91" t="s">
        <v>656</v>
      </c>
      <c r="Q79" s="92" t="s">
        <v>230</v>
      </c>
      <c r="R79" s="91" t="s">
        <v>365</v>
      </c>
      <c r="S79" s="98"/>
      <c r="T79" s="91" t="s">
        <v>236</v>
      </c>
      <c r="W79" s="99" t="str">
        <f t="shared" si="4"/>
        <v>Inicio, Planificación</v>
      </c>
    </row>
    <row r="80">
      <c r="A80" s="90">
        <v>45749.0</v>
      </c>
      <c r="B80" s="91">
        <v>82.0</v>
      </c>
      <c r="C80" s="91" t="s">
        <v>657</v>
      </c>
      <c r="D80" s="92" t="s">
        <v>217</v>
      </c>
      <c r="E80" s="91" t="s">
        <v>196</v>
      </c>
      <c r="F80" s="91" t="s">
        <v>658</v>
      </c>
      <c r="G80" s="93" t="s">
        <v>22</v>
      </c>
      <c r="H80" s="91"/>
      <c r="I80" s="95">
        <f t="shared" si="1"/>
        <v>2</v>
      </c>
      <c r="J80" s="93" t="s">
        <v>22</v>
      </c>
      <c r="K80" s="95">
        <f t="shared" si="2"/>
        <v>2</v>
      </c>
      <c r="L80" s="96">
        <f t="shared" si="3"/>
        <v>4</v>
      </c>
      <c r="M80" s="97" t="s">
        <v>659</v>
      </c>
      <c r="N80" s="97" t="s">
        <v>660</v>
      </c>
      <c r="O80" s="91" t="s">
        <v>661</v>
      </c>
      <c r="P80" s="91" t="s">
        <v>662</v>
      </c>
      <c r="Q80" s="92" t="s">
        <v>230</v>
      </c>
      <c r="R80" s="91" t="s">
        <v>296</v>
      </c>
      <c r="S80" s="98"/>
      <c r="T80" s="91" t="s">
        <v>236</v>
      </c>
      <c r="W80" s="99" t="str">
        <f t="shared" si="4"/>
        <v>Desarrollo, Puesta en marcha</v>
      </c>
    </row>
    <row r="81">
      <c r="A81" s="90">
        <v>45749.0</v>
      </c>
      <c r="B81" s="91">
        <v>84.0</v>
      </c>
      <c r="C81" s="91" t="s">
        <v>663</v>
      </c>
      <c r="D81" s="92" t="s">
        <v>234</v>
      </c>
      <c r="E81" s="91" t="s">
        <v>206</v>
      </c>
      <c r="F81" s="91" t="s">
        <v>664</v>
      </c>
      <c r="G81" s="93" t="s">
        <v>22</v>
      </c>
      <c r="H81" s="91"/>
      <c r="I81" s="95">
        <f t="shared" si="1"/>
        <v>2</v>
      </c>
      <c r="J81" s="93" t="s">
        <v>23</v>
      </c>
      <c r="K81" s="95">
        <f t="shared" si="2"/>
        <v>3</v>
      </c>
      <c r="L81" s="96">
        <f t="shared" si="3"/>
        <v>6</v>
      </c>
      <c r="M81" s="97" t="s">
        <v>665</v>
      </c>
      <c r="N81" s="97" t="s">
        <v>666</v>
      </c>
      <c r="O81" s="91" t="s">
        <v>667</v>
      </c>
      <c r="P81" s="91" t="s">
        <v>668</v>
      </c>
      <c r="Q81" s="92" t="s">
        <v>230</v>
      </c>
      <c r="R81" s="91" t="s">
        <v>669</v>
      </c>
      <c r="S81" s="98">
        <v>6500000.0</v>
      </c>
      <c r="T81" s="91" t="s">
        <v>670</v>
      </c>
      <c r="W81" s="99" t="str">
        <f t="shared" si="4"/>
        <v>Planificación, Desarrollo</v>
      </c>
    </row>
    <row r="82">
      <c r="A82" s="90">
        <v>45749.0</v>
      </c>
      <c r="B82" s="91">
        <v>85.0</v>
      </c>
      <c r="C82" s="91" t="s">
        <v>671</v>
      </c>
      <c r="D82" s="92" t="s">
        <v>234</v>
      </c>
      <c r="E82" s="91" t="s">
        <v>235</v>
      </c>
      <c r="F82" s="91" t="s">
        <v>672</v>
      </c>
      <c r="G82" s="93" t="s">
        <v>22</v>
      </c>
      <c r="H82" s="101"/>
      <c r="I82" s="95">
        <f t="shared" si="1"/>
        <v>2</v>
      </c>
      <c r="J82" s="93" t="s">
        <v>23</v>
      </c>
      <c r="K82" s="95">
        <f t="shared" si="2"/>
        <v>3</v>
      </c>
      <c r="L82" s="96">
        <f t="shared" si="3"/>
        <v>6</v>
      </c>
      <c r="M82" s="97" t="s">
        <v>673</v>
      </c>
      <c r="N82" s="97" t="s">
        <v>674</v>
      </c>
      <c r="O82" s="91" t="s">
        <v>675</v>
      </c>
      <c r="P82" s="91" t="s">
        <v>676</v>
      </c>
      <c r="Q82" s="92" t="s">
        <v>230</v>
      </c>
      <c r="R82" s="91" t="s">
        <v>669</v>
      </c>
      <c r="S82" s="98"/>
      <c r="T82" s="91" t="s">
        <v>236</v>
      </c>
      <c r="W82" s="99" t="str">
        <f t="shared" si="4"/>
        <v>Planificación, Desarrollo</v>
      </c>
    </row>
    <row r="83">
      <c r="T83" s="85" t="s">
        <v>236</v>
      </c>
    </row>
    <row r="84">
      <c r="T84" s="85" t="s">
        <v>236</v>
      </c>
    </row>
    <row r="85">
      <c r="T85" s="85" t="s">
        <v>236</v>
      </c>
    </row>
    <row r="86">
      <c r="T86" s="85" t="s">
        <v>236</v>
      </c>
    </row>
    <row r="87">
      <c r="T87" s="85" t="s">
        <v>236</v>
      </c>
    </row>
    <row r="88">
      <c r="T88" s="85" t="s">
        <v>236</v>
      </c>
    </row>
    <row r="89">
      <c r="T89" s="85" t="s">
        <v>236</v>
      </c>
    </row>
    <row r="90">
      <c r="T90" s="85" t="s">
        <v>236</v>
      </c>
    </row>
    <row r="91">
      <c r="T91" s="85" t="s">
        <v>236</v>
      </c>
    </row>
    <row r="92">
      <c r="T92" s="85" t="s">
        <v>236</v>
      </c>
    </row>
    <row r="93">
      <c r="T93" s="85" t="s">
        <v>236</v>
      </c>
    </row>
    <row r="94">
      <c r="T94" s="85" t="s">
        <v>236</v>
      </c>
    </row>
    <row r="95">
      <c r="T95" s="85" t="s">
        <v>236</v>
      </c>
    </row>
    <row r="96">
      <c r="T96" s="85" t="s">
        <v>236</v>
      </c>
    </row>
    <row r="97">
      <c r="T97" s="85" t="s">
        <v>236</v>
      </c>
    </row>
    <row r="98">
      <c r="T98" s="85" t="s">
        <v>236</v>
      </c>
    </row>
    <row r="99">
      <c r="T99" s="85" t="s">
        <v>236</v>
      </c>
    </row>
    <row r="100">
      <c r="T100" s="85" t="s">
        <v>236</v>
      </c>
    </row>
    <row r="101">
      <c r="T101" s="85" t="s">
        <v>236</v>
      </c>
    </row>
    <row r="102">
      <c r="T102" s="85" t="s">
        <v>236</v>
      </c>
    </row>
    <row r="103">
      <c r="T103" s="85" t="s">
        <v>236</v>
      </c>
    </row>
    <row r="104">
      <c r="T104" s="85" t="s">
        <v>236</v>
      </c>
    </row>
    <row r="105">
      <c r="T105" s="85" t="s">
        <v>236</v>
      </c>
    </row>
    <row r="106">
      <c r="T106" s="85" t="s">
        <v>236</v>
      </c>
    </row>
    <row r="107">
      <c r="T107" s="85" t="s">
        <v>236</v>
      </c>
    </row>
    <row r="108">
      <c r="T108" s="85" t="s">
        <v>236</v>
      </c>
    </row>
    <row r="109">
      <c r="T109" s="85" t="s">
        <v>236</v>
      </c>
    </row>
    <row r="110">
      <c r="T110" s="85" t="s">
        <v>236</v>
      </c>
    </row>
    <row r="111">
      <c r="T111" s="85" t="s">
        <v>236</v>
      </c>
    </row>
    <row r="112">
      <c r="T112" s="85" t="s">
        <v>236</v>
      </c>
    </row>
    <row r="113">
      <c r="T113" s="85" t="s">
        <v>236</v>
      </c>
    </row>
    <row r="114">
      <c r="T114" s="85" t="s">
        <v>236</v>
      </c>
    </row>
    <row r="115">
      <c r="T115" s="85" t="s">
        <v>236</v>
      </c>
    </row>
    <row r="116">
      <c r="T116" s="85" t="s">
        <v>236</v>
      </c>
    </row>
    <row r="117">
      <c r="T117" s="85" t="s">
        <v>236</v>
      </c>
    </row>
    <row r="118">
      <c r="T118" s="85" t="s">
        <v>236</v>
      </c>
    </row>
    <row r="119">
      <c r="T119" s="85" t="s">
        <v>236</v>
      </c>
    </row>
    <row r="120">
      <c r="T120" s="85" t="s">
        <v>236</v>
      </c>
    </row>
    <row r="121">
      <c r="T121" s="85" t="s">
        <v>236</v>
      </c>
    </row>
    <row r="122">
      <c r="T122" s="85" t="s">
        <v>236</v>
      </c>
    </row>
    <row r="123">
      <c r="T123" s="85" t="s">
        <v>236</v>
      </c>
    </row>
    <row r="124">
      <c r="T124" s="85" t="s">
        <v>236</v>
      </c>
    </row>
    <row r="125">
      <c r="T125" s="85" t="s">
        <v>236</v>
      </c>
    </row>
    <row r="126">
      <c r="T126" s="85" t="s">
        <v>236</v>
      </c>
    </row>
    <row r="127">
      <c r="T127" s="85" t="s">
        <v>236</v>
      </c>
    </row>
    <row r="128">
      <c r="T128" s="85" t="s">
        <v>236</v>
      </c>
    </row>
    <row r="129">
      <c r="T129" s="85" t="s">
        <v>236</v>
      </c>
    </row>
    <row r="130">
      <c r="T130" s="85" t="s">
        <v>236</v>
      </c>
    </row>
    <row r="131">
      <c r="T131" s="85" t="s">
        <v>236</v>
      </c>
    </row>
    <row r="132">
      <c r="T132" s="85" t="s">
        <v>236</v>
      </c>
    </row>
    <row r="133">
      <c r="T133" s="85" t="s">
        <v>236</v>
      </c>
    </row>
    <row r="134">
      <c r="T134" s="85" t="s">
        <v>236</v>
      </c>
    </row>
    <row r="135">
      <c r="T135" s="85" t="s">
        <v>236</v>
      </c>
    </row>
    <row r="136">
      <c r="T136" s="85" t="s">
        <v>236</v>
      </c>
    </row>
    <row r="137">
      <c r="T137" s="85" t="s">
        <v>236</v>
      </c>
    </row>
    <row r="138">
      <c r="T138" s="85" t="s">
        <v>236</v>
      </c>
    </row>
    <row r="139">
      <c r="T139" s="85" t="s">
        <v>236</v>
      </c>
    </row>
    <row r="140">
      <c r="T140" s="85" t="s">
        <v>236</v>
      </c>
    </row>
    <row r="141">
      <c r="T141" s="85" t="s">
        <v>236</v>
      </c>
    </row>
    <row r="142">
      <c r="T142" s="85" t="s">
        <v>236</v>
      </c>
    </row>
    <row r="143">
      <c r="T143" s="85" t="s">
        <v>236</v>
      </c>
    </row>
    <row r="144">
      <c r="T144" s="85" t="s">
        <v>236</v>
      </c>
    </row>
    <row r="145">
      <c r="T145" s="85" t="s">
        <v>236</v>
      </c>
    </row>
    <row r="146">
      <c r="T146" s="85" t="s">
        <v>236</v>
      </c>
    </row>
    <row r="147">
      <c r="T147" s="85" t="s">
        <v>236</v>
      </c>
    </row>
    <row r="148">
      <c r="T148" s="85" t="s">
        <v>236</v>
      </c>
    </row>
    <row r="149">
      <c r="T149" s="85" t="s">
        <v>236</v>
      </c>
    </row>
    <row r="150">
      <c r="T150" s="85" t="s">
        <v>236</v>
      </c>
    </row>
    <row r="151">
      <c r="T151" s="85" t="s">
        <v>236</v>
      </c>
    </row>
    <row r="152">
      <c r="T152" s="85" t="s">
        <v>236</v>
      </c>
    </row>
    <row r="153">
      <c r="T153" s="85" t="s">
        <v>236</v>
      </c>
    </row>
    <row r="154">
      <c r="T154" s="85" t="s">
        <v>236</v>
      </c>
    </row>
    <row r="155">
      <c r="T155" s="85" t="s">
        <v>236</v>
      </c>
    </row>
    <row r="156">
      <c r="T156" s="85" t="s">
        <v>236</v>
      </c>
    </row>
    <row r="157">
      <c r="T157" s="85" t="s">
        <v>236</v>
      </c>
    </row>
    <row r="158">
      <c r="T158" s="85" t="s">
        <v>236</v>
      </c>
    </row>
    <row r="159">
      <c r="T159" s="85" t="s">
        <v>236</v>
      </c>
    </row>
    <row r="160">
      <c r="T160" s="85" t="s">
        <v>236</v>
      </c>
    </row>
    <row r="161">
      <c r="T161" s="85" t="s">
        <v>236</v>
      </c>
    </row>
    <row r="162">
      <c r="T162" s="85" t="s">
        <v>236</v>
      </c>
    </row>
    <row r="163">
      <c r="T163" s="85" t="s">
        <v>236</v>
      </c>
    </row>
    <row r="164">
      <c r="T164" s="85" t="s">
        <v>236</v>
      </c>
    </row>
    <row r="165">
      <c r="T165" s="85" t="s">
        <v>236</v>
      </c>
    </row>
    <row r="166">
      <c r="T166" s="85" t="s">
        <v>236</v>
      </c>
    </row>
    <row r="167">
      <c r="T167" s="85" t="s">
        <v>236</v>
      </c>
    </row>
    <row r="168">
      <c r="T168" s="85" t="s">
        <v>236</v>
      </c>
    </row>
    <row r="169">
      <c r="T169" s="85" t="s">
        <v>236</v>
      </c>
    </row>
    <row r="170">
      <c r="T170" s="85" t="s">
        <v>236</v>
      </c>
    </row>
    <row r="171">
      <c r="T171" s="85" t="s">
        <v>236</v>
      </c>
    </row>
    <row r="172">
      <c r="T172" s="85" t="s">
        <v>236</v>
      </c>
    </row>
    <row r="173">
      <c r="T173" s="85" t="s">
        <v>236</v>
      </c>
    </row>
    <row r="174">
      <c r="T174" s="85" t="s">
        <v>236</v>
      </c>
    </row>
    <row r="175">
      <c r="T175" s="85" t="s">
        <v>236</v>
      </c>
    </row>
    <row r="176">
      <c r="T176" s="85" t="s">
        <v>236</v>
      </c>
    </row>
    <row r="177">
      <c r="T177" s="85" t="s">
        <v>236</v>
      </c>
    </row>
    <row r="178">
      <c r="T178" s="85" t="s">
        <v>236</v>
      </c>
    </row>
    <row r="179">
      <c r="T179" s="85" t="s">
        <v>236</v>
      </c>
    </row>
    <row r="180">
      <c r="T180" s="85" t="s">
        <v>236</v>
      </c>
    </row>
    <row r="181">
      <c r="T181" s="85" t="s">
        <v>236</v>
      </c>
    </row>
    <row r="182">
      <c r="T182" s="85" t="s">
        <v>236</v>
      </c>
    </row>
    <row r="183">
      <c r="T183" s="85" t="s">
        <v>236</v>
      </c>
    </row>
    <row r="184">
      <c r="T184" s="85" t="s">
        <v>236</v>
      </c>
    </row>
    <row r="185">
      <c r="T185" s="85" t="s">
        <v>236</v>
      </c>
    </row>
    <row r="186">
      <c r="T186" s="85" t="s">
        <v>236</v>
      </c>
    </row>
    <row r="187">
      <c r="T187" s="85" t="s">
        <v>236</v>
      </c>
    </row>
    <row r="188">
      <c r="T188" s="85" t="s">
        <v>236</v>
      </c>
    </row>
    <row r="189">
      <c r="T189" s="85" t="s">
        <v>236</v>
      </c>
    </row>
    <row r="190">
      <c r="T190" s="85" t="s">
        <v>236</v>
      </c>
    </row>
    <row r="191">
      <c r="T191" s="85" t="s">
        <v>236</v>
      </c>
    </row>
    <row r="192">
      <c r="T192" s="85" t="s">
        <v>236</v>
      </c>
    </row>
    <row r="193">
      <c r="T193" s="85" t="s">
        <v>236</v>
      </c>
    </row>
    <row r="194">
      <c r="T194" s="85" t="s">
        <v>236</v>
      </c>
    </row>
    <row r="195">
      <c r="T195" s="85" t="s">
        <v>236</v>
      </c>
    </row>
    <row r="196">
      <c r="T196" s="85" t="s">
        <v>236</v>
      </c>
    </row>
    <row r="197">
      <c r="T197" s="85" t="s">
        <v>236</v>
      </c>
    </row>
    <row r="198">
      <c r="T198" s="85" t="s">
        <v>236</v>
      </c>
    </row>
    <row r="199">
      <c r="T199" s="85" t="s">
        <v>236</v>
      </c>
    </row>
    <row r="200">
      <c r="T200" s="85" t="s">
        <v>236</v>
      </c>
    </row>
    <row r="201">
      <c r="T201" s="85" t="s">
        <v>236</v>
      </c>
    </row>
    <row r="202">
      <c r="T202" s="85" t="s">
        <v>236</v>
      </c>
    </row>
    <row r="203">
      <c r="T203" s="85" t="s">
        <v>236</v>
      </c>
    </row>
    <row r="204">
      <c r="T204" s="85" t="s">
        <v>236</v>
      </c>
    </row>
    <row r="205">
      <c r="T205" s="85" t="s">
        <v>236</v>
      </c>
    </row>
    <row r="206">
      <c r="T206" s="85" t="s">
        <v>236</v>
      </c>
    </row>
    <row r="207">
      <c r="T207" s="85" t="s">
        <v>236</v>
      </c>
    </row>
    <row r="208">
      <c r="T208" s="85" t="s">
        <v>236</v>
      </c>
    </row>
    <row r="209">
      <c r="T209" s="85" t="s">
        <v>236</v>
      </c>
    </row>
    <row r="210">
      <c r="T210" s="85" t="s">
        <v>236</v>
      </c>
    </row>
    <row r="211">
      <c r="T211" s="85" t="s">
        <v>236</v>
      </c>
    </row>
    <row r="212">
      <c r="T212" s="85" t="s">
        <v>236</v>
      </c>
    </row>
    <row r="213">
      <c r="T213" s="85" t="s">
        <v>236</v>
      </c>
    </row>
    <row r="214">
      <c r="T214" s="85" t="s">
        <v>236</v>
      </c>
    </row>
    <row r="215">
      <c r="T215" s="85" t="s">
        <v>236</v>
      </c>
    </row>
    <row r="216">
      <c r="T216" s="85" t="s">
        <v>236</v>
      </c>
    </row>
    <row r="217">
      <c r="T217" s="85" t="s">
        <v>236</v>
      </c>
    </row>
    <row r="218">
      <c r="T218" s="85" t="s">
        <v>236</v>
      </c>
    </row>
    <row r="219">
      <c r="T219" s="85" t="s">
        <v>236</v>
      </c>
    </row>
    <row r="220">
      <c r="T220" s="85" t="s">
        <v>236</v>
      </c>
    </row>
    <row r="221">
      <c r="T221" s="85" t="s">
        <v>236</v>
      </c>
    </row>
    <row r="222">
      <c r="T222" s="85" t="s">
        <v>236</v>
      </c>
    </row>
    <row r="223">
      <c r="T223" s="85" t="s">
        <v>236</v>
      </c>
    </row>
    <row r="224">
      <c r="T224" s="85" t="s">
        <v>236</v>
      </c>
    </row>
    <row r="225">
      <c r="T225" s="85" t="s">
        <v>236</v>
      </c>
    </row>
    <row r="226">
      <c r="T226" s="85" t="s">
        <v>236</v>
      </c>
    </row>
    <row r="227">
      <c r="T227" s="85" t="s">
        <v>236</v>
      </c>
    </row>
    <row r="228">
      <c r="T228" s="85" t="s">
        <v>236</v>
      </c>
    </row>
    <row r="229">
      <c r="T229" s="85" t="s">
        <v>236</v>
      </c>
    </row>
    <row r="230">
      <c r="T230" s="85" t="s">
        <v>236</v>
      </c>
    </row>
    <row r="231">
      <c r="T231" s="85" t="s">
        <v>236</v>
      </c>
    </row>
    <row r="232">
      <c r="T232" s="85" t="s">
        <v>236</v>
      </c>
    </row>
    <row r="233">
      <c r="T233" s="85" t="s">
        <v>236</v>
      </c>
    </row>
    <row r="234">
      <c r="T234" s="85" t="s">
        <v>236</v>
      </c>
    </row>
    <row r="235">
      <c r="T235" s="85" t="s">
        <v>236</v>
      </c>
    </row>
    <row r="236">
      <c r="T236" s="85" t="s">
        <v>236</v>
      </c>
    </row>
    <row r="237">
      <c r="T237" s="85" t="s">
        <v>236</v>
      </c>
    </row>
    <row r="238">
      <c r="T238" s="85" t="s">
        <v>236</v>
      </c>
    </row>
    <row r="239">
      <c r="T239" s="85" t="s">
        <v>236</v>
      </c>
    </row>
    <row r="240">
      <c r="T240" s="85" t="s">
        <v>236</v>
      </c>
    </row>
    <row r="241">
      <c r="T241" s="85" t="s">
        <v>236</v>
      </c>
    </row>
    <row r="242">
      <c r="T242" s="85" t="s">
        <v>236</v>
      </c>
    </row>
    <row r="243">
      <c r="T243" s="85" t="s">
        <v>236</v>
      </c>
    </row>
    <row r="244">
      <c r="T244" s="85" t="s">
        <v>236</v>
      </c>
    </row>
    <row r="245">
      <c r="T245" s="85" t="s">
        <v>236</v>
      </c>
    </row>
    <row r="246">
      <c r="T246" s="85" t="s">
        <v>236</v>
      </c>
    </row>
    <row r="247">
      <c r="T247" s="85" t="s">
        <v>236</v>
      </c>
    </row>
    <row r="248">
      <c r="T248" s="85" t="s">
        <v>236</v>
      </c>
    </row>
    <row r="249">
      <c r="T249" s="85" t="s">
        <v>236</v>
      </c>
    </row>
    <row r="250">
      <c r="T250" s="85" t="s">
        <v>236</v>
      </c>
    </row>
    <row r="251">
      <c r="T251" s="85" t="s">
        <v>236</v>
      </c>
    </row>
    <row r="252">
      <c r="T252" s="85" t="s">
        <v>236</v>
      </c>
    </row>
    <row r="253">
      <c r="T253" s="85" t="s">
        <v>236</v>
      </c>
    </row>
    <row r="254">
      <c r="T254" s="85" t="s">
        <v>236</v>
      </c>
    </row>
    <row r="255">
      <c r="T255" s="85" t="s">
        <v>236</v>
      </c>
    </row>
    <row r="256">
      <c r="T256" s="85" t="s">
        <v>236</v>
      </c>
    </row>
    <row r="257">
      <c r="T257" s="85" t="s">
        <v>236</v>
      </c>
    </row>
    <row r="258">
      <c r="T258" s="85" t="s">
        <v>236</v>
      </c>
    </row>
    <row r="259">
      <c r="T259" s="85" t="s">
        <v>236</v>
      </c>
    </row>
    <row r="260">
      <c r="T260" s="85" t="s">
        <v>236</v>
      </c>
    </row>
    <row r="261">
      <c r="T261" s="85" t="s">
        <v>236</v>
      </c>
    </row>
    <row r="262">
      <c r="T262" s="85" t="s">
        <v>236</v>
      </c>
    </row>
    <row r="263">
      <c r="T263" s="85" t="s">
        <v>236</v>
      </c>
    </row>
    <row r="264">
      <c r="T264" s="85" t="s">
        <v>236</v>
      </c>
    </row>
    <row r="265">
      <c r="T265" s="85" t="s">
        <v>236</v>
      </c>
    </row>
    <row r="266">
      <c r="T266" s="85" t="s">
        <v>236</v>
      </c>
    </row>
    <row r="267">
      <c r="T267" s="85" t="s">
        <v>236</v>
      </c>
    </row>
    <row r="268">
      <c r="T268" s="85" t="s">
        <v>236</v>
      </c>
    </row>
    <row r="269">
      <c r="T269" s="85" t="s">
        <v>236</v>
      </c>
    </row>
    <row r="270">
      <c r="T270" s="85" t="s">
        <v>236</v>
      </c>
    </row>
    <row r="271">
      <c r="T271" s="85" t="s">
        <v>236</v>
      </c>
    </row>
    <row r="272">
      <c r="T272" s="85" t="s">
        <v>236</v>
      </c>
    </row>
    <row r="273">
      <c r="T273" s="85" t="s">
        <v>236</v>
      </c>
    </row>
    <row r="274">
      <c r="T274" s="85" t="s">
        <v>236</v>
      </c>
    </row>
    <row r="275">
      <c r="T275" s="85" t="s">
        <v>236</v>
      </c>
    </row>
    <row r="276">
      <c r="T276" s="85" t="s">
        <v>236</v>
      </c>
    </row>
    <row r="277">
      <c r="T277" s="85" t="s">
        <v>236</v>
      </c>
    </row>
    <row r="278">
      <c r="T278" s="85" t="s">
        <v>236</v>
      </c>
    </row>
    <row r="279">
      <c r="T279" s="85" t="s">
        <v>236</v>
      </c>
    </row>
    <row r="280">
      <c r="T280" s="85" t="s">
        <v>236</v>
      </c>
    </row>
    <row r="281">
      <c r="T281" s="85" t="s">
        <v>236</v>
      </c>
    </row>
    <row r="282">
      <c r="T282" s="85" t="s">
        <v>236</v>
      </c>
    </row>
    <row r="283">
      <c r="T283" s="85" t="s">
        <v>236</v>
      </c>
    </row>
    <row r="284">
      <c r="T284" s="85" t="s">
        <v>236</v>
      </c>
    </row>
    <row r="285">
      <c r="T285" s="85" t="s">
        <v>236</v>
      </c>
    </row>
    <row r="286">
      <c r="T286" s="85" t="s">
        <v>236</v>
      </c>
    </row>
    <row r="287">
      <c r="T287" s="85" t="s">
        <v>236</v>
      </c>
    </row>
    <row r="288">
      <c r="T288" s="85" t="s">
        <v>236</v>
      </c>
    </row>
    <row r="289">
      <c r="T289" s="85" t="s">
        <v>236</v>
      </c>
    </row>
    <row r="290">
      <c r="T290" s="85" t="s">
        <v>236</v>
      </c>
    </row>
    <row r="291">
      <c r="T291" s="85" t="s">
        <v>236</v>
      </c>
    </row>
    <row r="292">
      <c r="T292" s="85" t="s">
        <v>236</v>
      </c>
    </row>
    <row r="293">
      <c r="T293" s="85" t="s">
        <v>236</v>
      </c>
    </row>
    <row r="294">
      <c r="T294" s="85" t="s">
        <v>236</v>
      </c>
    </row>
    <row r="295">
      <c r="T295" s="85" t="s">
        <v>236</v>
      </c>
    </row>
    <row r="296">
      <c r="T296" s="85" t="s">
        <v>236</v>
      </c>
    </row>
    <row r="297">
      <c r="T297" s="85" t="s">
        <v>236</v>
      </c>
    </row>
    <row r="298">
      <c r="T298" s="85" t="s">
        <v>236</v>
      </c>
    </row>
    <row r="299">
      <c r="T299" s="85" t="s">
        <v>236</v>
      </c>
    </row>
    <row r="300">
      <c r="T300" s="85" t="s">
        <v>236</v>
      </c>
    </row>
    <row r="301">
      <c r="T301" s="85" t="s">
        <v>236</v>
      </c>
    </row>
    <row r="302">
      <c r="T302" s="85" t="s">
        <v>236</v>
      </c>
    </row>
    <row r="303">
      <c r="T303" s="85" t="s">
        <v>236</v>
      </c>
    </row>
    <row r="304">
      <c r="T304" s="85" t="s">
        <v>236</v>
      </c>
    </row>
    <row r="305">
      <c r="T305" s="85" t="s">
        <v>236</v>
      </c>
    </row>
    <row r="306">
      <c r="T306" s="85" t="s">
        <v>236</v>
      </c>
    </row>
    <row r="307">
      <c r="T307" s="85" t="s">
        <v>236</v>
      </c>
    </row>
    <row r="308">
      <c r="T308" s="85" t="s">
        <v>236</v>
      </c>
    </row>
    <row r="309">
      <c r="T309" s="85" t="s">
        <v>236</v>
      </c>
    </row>
    <row r="310">
      <c r="T310" s="85" t="s">
        <v>236</v>
      </c>
    </row>
    <row r="311">
      <c r="T311" s="85" t="s">
        <v>236</v>
      </c>
    </row>
    <row r="312">
      <c r="T312" s="85" t="s">
        <v>236</v>
      </c>
    </row>
    <row r="313">
      <c r="T313" s="85" t="s">
        <v>236</v>
      </c>
    </row>
    <row r="314">
      <c r="T314" s="85" t="s">
        <v>236</v>
      </c>
    </row>
    <row r="315">
      <c r="T315" s="85" t="s">
        <v>236</v>
      </c>
    </row>
    <row r="316">
      <c r="T316" s="85" t="s">
        <v>236</v>
      </c>
    </row>
    <row r="317">
      <c r="T317" s="85" t="s">
        <v>236</v>
      </c>
    </row>
    <row r="318">
      <c r="T318" s="85" t="s">
        <v>236</v>
      </c>
    </row>
    <row r="319">
      <c r="T319" s="85" t="s">
        <v>236</v>
      </c>
    </row>
    <row r="320">
      <c r="T320" s="85" t="s">
        <v>236</v>
      </c>
    </row>
    <row r="321">
      <c r="T321" s="85" t="s">
        <v>236</v>
      </c>
    </row>
    <row r="322">
      <c r="T322" s="85" t="s">
        <v>236</v>
      </c>
    </row>
    <row r="323">
      <c r="T323" s="85" t="s">
        <v>236</v>
      </c>
    </row>
    <row r="324">
      <c r="T324" s="85" t="s">
        <v>236</v>
      </c>
    </row>
    <row r="325">
      <c r="T325" s="85" t="s">
        <v>236</v>
      </c>
    </row>
    <row r="326">
      <c r="T326" s="85" t="s">
        <v>236</v>
      </c>
    </row>
    <row r="327">
      <c r="T327" s="85" t="s">
        <v>236</v>
      </c>
    </row>
    <row r="328">
      <c r="T328" s="85" t="s">
        <v>236</v>
      </c>
    </row>
    <row r="329">
      <c r="T329" s="85" t="s">
        <v>236</v>
      </c>
    </row>
    <row r="330">
      <c r="T330" s="85" t="s">
        <v>236</v>
      </c>
    </row>
    <row r="331">
      <c r="T331" s="85" t="s">
        <v>236</v>
      </c>
    </row>
    <row r="332">
      <c r="T332" s="85" t="s">
        <v>236</v>
      </c>
    </row>
    <row r="333">
      <c r="T333" s="85" t="s">
        <v>236</v>
      </c>
    </row>
    <row r="334">
      <c r="T334" s="85" t="s">
        <v>236</v>
      </c>
    </row>
    <row r="335">
      <c r="T335" s="85" t="s">
        <v>236</v>
      </c>
    </row>
    <row r="336">
      <c r="T336" s="85" t="s">
        <v>236</v>
      </c>
    </row>
    <row r="337">
      <c r="T337" s="85" t="s">
        <v>236</v>
      </c>
    </row>
    <row r="338">
      <c r="T338" s="85" t="s">
        <v>236</v>
      </c>
    </row>
    <row r="339">
      <c r="T339" s="85" t="s">
        <v>236</v>
      </c>
    </row>
    <row r="340">
      <c r="T340" s="85" t="s">
        <v>236</v>
      </c>
    </row>
    <row r="341">
      <c r="T341" s="85" t="s">
        <v>236</v>
      </c>
    </row>
    <row r="342">
      <c r="T342" s="85" t="s">
        <v>236</v>
      </c>
    </row>
    <row r="343">
      <c r="T343" s="85" t="s">
        <v>236</v>
      </c>
    </row>
    <row r="344">
      <c r="T344" s="85" t="s">
        <v>236</v>
      </c>
    </row>
    <row r="345">
      <c r="T345" s="85" t="s">
        <v>236</v>
      </c>
    </row>
    <row r="346">
      <c r="T346" s="85" t="s">
        <v>236</v>
      </c>
    </row>
    <row r="347">
      <c r="T347" s="85" t="s">
        <v>236</v>
      </c>
    </row>
    <row r="348">
      <c r="T348" s="85" t="s">
        <v>236</v>
      </c>
    </row>
    <row r="349">
      <c r="T349" s="85" t="s">
        <v>236</v>
      </c>
    </row>
    <row r="350">
      <c r="T350" s="85" t="s">
        <v>236</v>
      </c>
    </row>
    <row r="351">
      <c r="T351" s="85" t="s">
        <v>236</v>
      </c>
    </row>
    <row r="352">
      <c r="T352" s="85" t="s">
        <v>236</v>
      </c>
    </row>
    <row r="353">
      <c r="T353" s="85" t="s">
        <v>236</v>
      </c>
    </row>
    <row r="354">
      <c r="T354" s="85" t="s">
        <v>236</v>
      </c>
    </row>
    <row r="355">
      <c r="T355" s="85" t="s">
        <v>236</v>
      </c>
    </row>
    <row r="356">
      <c r="T356" s="85" t="s">
        <v>236</v>
      </c>
    </row>
    <row r="357">
      <c r="T357" s="85" t="s">
        <v>236</v>
      </c>
    </row>
    <row r="358">
      <c r="T358" s="85" t="s">
        <v>236</v>
      </c>
    </row>
    <row r="359">
      <c r="T359" s="85" t="s">
        <v>236</v>
      </c>
    </row>
    <row r="360">
      <c r="T360" s="85" t="s">
        <v>236</v>
      </c>
    </row>
    <row r="361">
      <c r="T361" s="85" t="s">
        <v>236</v>
      </c>
    </row>
    <row r="362">
      <c r="T362" s="85" t="s">
        <v>236</v>
      </c>
    </row>
    <row r="363">
      <c r="T363" s="85" t="s">
        <v>236</v>
      </c>
    </row>
    <row r="364">
      <c r="T364" s="85" t="s">
        <v>236</v>
      </c>
    </row>
    <row r="365">
      <c r="T365" s="85" t="s">
        <v>236</v>
      </c>
    </row>
    <row r="366">
      <c r="T366" s="85" t="s">
        <v>236</v>
      </c>
    </row>
    <row r="367">
      <c r="T367" s="85" t="s">
        <v>236</v>
      </c>
    </row>
    <row r="368">
      <c r="T368" s="85" t="s">
        <v>236</v>
      </c>
    </row>
    <row r="369">
      <c r="T369" s="85" t="s">
        <v>236</v>
      </c>
    </row>
    <row r="370">
      <c r="T370" s="85" t="s">
        <v>236</v>
      </c>
    </row>
    <row r="371">
      <c r="T371" s="85" t="s">
        <v>236</v>
      </c>
    </row>
    <row r="372">
      <c r="T372" s="85" t="s">
        <v>236</v>
      </c>
    </row>
    <row r="373">
      <c r="T373" s="85" t="s">
        <v>236</v>
      </c>
    </row>
    <row r="374">
      <c r="T374" s="85" t="s">
        <v>236</v>
      </c>
    </row>
    <row r="375">
      <c r="T375" s="85" t="s">
        <v>236</v>
      </c>
    </row>
    <row r="376">
      <c r="T376" s="85" t="s">
        <v>236</v>
      </c>
    </row>
    <row r="377">
      <c r="T377" s="85" t="s">
        <v>236</v>
      </c>
    </row>
    <row r="378">
      <c r="T378" s="85" t="s">
        <v>236</v>
      </c>
    </row>
    <row r="379">
      <c r="T379" s="85" t="s">
        <v>236</v>
      </c>
    </row>
    <row r="380">
      <c r="T380" s="85" t="s">
        <v>236</v>
      </c>
    </row>
    <row r="381">
      <c r="T381" s="85" t="s">
        <v>236</v>
      </c>
    </row>
    <row r="382">
      <c r="T382" s="85" t="s">
        <v>236</v>
      </c>
    </row>
    <row r="383">
      <c r="T383" s="85" t="s">
        <v>236</v>
      </c>
    </row>
    <row r="384">
      <c r="T384" s="85" t="s">
        <v>236</v>
      </c>
    </row>
    <row r="385">
      <c r="T385" s="85" t="s">
        <v>236</v>
      </c>
    </row>
    <row r="386">
      <c r="T386" s="85" t="s">
        <v>236</v>
      </c>
    </row>
    <row r="387">
      <c r="T387" s="85" t="s">
        <v>236</v>
      </c>
    </row>
    <row r="388">
      <c r="T388" s="85" t="s">
        <v>236</v>
      </c>
    </row>
    <row r="389">
      <c r="T389" s="85" t="s">
        <v>236</v>
      </c>
    </row>
    <row r="390">
      <c r="T390" s="85" t="s">
        <v>236</v>
      </c>
    </row>
    <row r="391">
      <c r="T391" s="85" t="s">
        <v>236</v>
      </c>
    </row>
    <row r="392">
      <c r="T392" s="85" t="s">
        <v>236</v>
      </c>
    </row>
    <row r="393">
      <c r="T393" s="85" t="s">
        <v>236</v>
      </c>
    </row>
    <row r="394">
      <c r="T394" s="85" t="s">
        <v>236</v>
      </c>
    </row>
    <row r="395">
      <c r="T395" s="85" t="s">
        <v>236</v>
      </c>
    </row>
    <row r="396">
      <c r="T396" s="85" t="s">
        <v>236</v>
      </c>
    </row>
    <row r="397">
      <c r="T397" s="85" t="s">
        <v>236</v>
      </c>
    </row>
    <row r="398">
      <c r="T398" s="85" t="s">
        <v>236</v>
      </c>
    </row>
    <row r="399">
      <c r="T399" s="85" t="s">
        <v>236</v>
      </c>
    </row>
    <row r="400">
      <c r="T400" s="85" t="s">
        <v>236</v>
      </c>
    </row>
    <row r="401">
      <c r="T401" s="85" t="s">
        <v>236</v>
      </c>
    </row>
    <row r="402">
      <c r="T402" s="85" t="s">
        <v>236</v>
      </c>
    </row>
    <row r="403">
      <c r="T403" s="85" t="s">
        <v>236</v>
      </c>
    </row>
    <row r="404">
      <c r="T404" s="85" t="s">
        <v>236</v>
      </c>
    </row>
    <row r="405">
      <c r="T405" s="85" t="s">
        <v>236</v>
      </c>
    </row>
    <row r="406">
      <c r="T406" s="85" t="s">
        <v>236</v>
      </c>
    </row>
    <row r="407">
      <c r="T407" s="85" t="s">
        <v>236</v>
      </c>
    </row>
    <row r="408">
      <c r="T408" s="85" t="s">
        <v>236</v>
      </c>
    </row>
    <row r="409">
      <c r="T409" s="85" t="s">
        <v>236</v>
      </c>
    </row>
    <row r="410">
      <c r="T410" s="85" t="s">
        <v>236</v>
      </c>
    </row>
    <row r="411">
      <c r="T411" s="85" t="s">
        <v>236</v>
      </c>
    </row>
    <row r="412">
      <c r="T412" s="85" t="s">
        <v>236</v>
      </c>
    </row>
    <row r="413">
      <c r="T413" s="85" t="s">
        <v>236</v>
      </c>
    </row>
    <row r="414">
      <c r="T414" s="85" t="s">
        <v>236</v>
      </c>
    </row>
    <row r="415">
      <c r="T415" s="85" t="s">
        <v>236</v>
      </c>
    </row>
    <row r="416">
      <c r="T416" s="85" t="s">
        <v>236</v>
      </c>
    </row>
    <row r="417">
      <c r="T417" s="85" t="s">
        <v>236</v>
      </c>
    </row>
    <row r="418">
      <c r="T418" s="85" t="s">
        <v>236</v>
      </c>
    </row>
    <row r="419">
      <c r="T419" s="85" t="s">
        <v>236</v>
      </c>
    </row>
    <row r="420">
      <c r="T420" s="85" t="s">
        <v>236</v>
      </c>
    </row>
    <row r="421">
      <c r="T421" s="85" t="s">
        <v>236</v>
      </c>
    </row>
    <row r="422">
      <c r="T422" s="85" t="s">
        <v>236</v>
      </c>
    </row>
    <row r="423">
      <c r="T423" s="85" t="s">
        <v>236</v>
      </c>
    </row>
    <row r="424">
      <c r="T424" s="85" t="s">
        <v>236</v>
      </c>
    </row>
    <row r="425">
      <c r="T425" s="85" t="s">
        <v>236</v>
      </c>
    </row>
    <row r="426">
      <c r="T426" s="85" t="s">
        <v>236</v>
      </c>
    </row>
    <row r="427">
      <c r="T427" s="85" t="s">
        <v>236</v>
      </c>
    </row>
    <row r="428">
      <c r="T428" s="85" t="s">
        <v>236</v>
      </c>
    </row>
    <row r="429">
      <c r="T429" s="85" t="s">
        <v>236</v>
      </c>
    </row>
    <row r="430">
      <c r="T430" s="85" t="s">
        <v>236</v>
      </c>
    </row>
    <row r="431">
      <c r="T431" s="85" t="s">
        <v>236</v>
      </c>
    </row>
    <row r="432">
      <c r="T432" s="85" t="s">
        <v>236</v>
      </c>
    </row>
    <row r="433">
      <c r="T433" s="85" t="s">
        <v>236</v>
      </c>
    </row>
    <row r="434">
      <c r="T434" s="85" t="s">
        <v>236</v>
      </c>
    </row>
    <row r="435">
      <c r="T435" s="85" t="s">
        <v>236</v>
      </c>
    </row>
    <row r="436">
      <c r="T436" s="85" t="s">
        <v>236</v>
      </c>
    </row>
    <row r="437">
      <c r="T437" s="85" t="s">
        <v>236</v>
      </c>
    </row>
    <row r="438">
      <c r="T438" s="85" t="s">
        <v>236</v>
      </c>
    </row>
    <row r="439">
      <c r="T439" s="85" t="s">
        <v>236</v>
      </c>
    </row>
    <row r="440">
      <c r="T440" s="85" t="s">
        <v>236</v>
      </c>
    </row>
    <row r="441">
      <c r="T441" s="85" t="s">
        <v>236</v>
      </c>
    </row>
    <row r="442">
      <c r="T442" s="85" t="s">
        <v>236</v>
      </c>
    </row>
    <row r="443">
      <c r="T443" s="85" t="s">
        <v>236</v>
      </c>
    </row>
    <row r="444">
      <c r="T444" s="85" t="s">
        <v>236</v>
      </c>
    </row>
    <row r="445">
      <c r="T445" s="85" t="s">
        <v>236</v>
      </c>
    </row>
    <row r="446">
      <c r="T446" s="85" t="s">
        <v>236</v>
      </c>
    </row>
    <row r="447">
      <c r="T447" s="85" t="s">
        <v>236</v>
      </c>
    </row>
    <row r="448">
      <c r="T448" s="85" t="s">
        <v>236</v>
      </c>
    </row>
    <row r="449">
      <c r="T449" s="85" t="s">
        <v>236</v>
      </c>
    </row>
    <row r="450">
      <c r="T450" s="85" t="s">
        <v>236</v>
      </c>
    </row>
    <row r="451">
      <c r="T451" s="85" t="s">
        <v>236</v>
      </c>
    </row>
    <row r="452">
      <c r="T452" s="85" t="s">
        <v>236</v>
      </c>
    </row>
    <row r="453">
      <c r="T453" s="85" t="s">
        <v>236</v>
      </c>
    </row>
    <row r="454">
      <c r="T454" s="85" t="s">
        <v>236</v>
      </c>
    </row>
    <row r="455">
      <c r="T455" s="85" t="s">
        <v>236</v>
      </c>
    </row>
    <row r="456">
      <c r="T456" s="85" t="s">
        <v>236</v>
      </c>
    </row>
    <row r="457">
      <c r="T457" s="85" t="s">
        <v>236</v>
      </c>
    </row>
    <row r="458">
      <c r="T458" s="85" t="s">
        <v>236</v>
      </c>
    </row>
    <row r="459">
      <c r="T459" s="85" t="s">
        <v>236</v>
      </c>
    </row>
    <row r="460">
      <c r="T460" s="85" t="s">
        <v>236</v>
      </c>
    </row>
    <row r="461">
      <c r="T461" s="85" t="s">
        <v>236</v>
      </c>
    </row>
    <row r="462">
      <c r="T462" s="85" t="s">
        <v>236</v>
      </c>
    </row>
    <row r="463">
      <c r="T463" s="85" t="s">
        <v>236</v>
      </c>
    </row>
    <row r="464">
      <c r="T464" s="85" t="s">
        <v>236</v>
      </c>
    </row>
    <row r="465">
      <c r="T465" s="85" t="s">
        <v>236</v>
      </c>
    </row>
    <row r="466">
      <c r="T466" s="85" t="s">
        <v>236</v>
      </c>
    </row>
    <row r="467">
      <c r="T467" s="85" t="s">
        <v>236</v>
      </c>
    </row>
    <row r="468">
      <c r="T468" s="85" t="s">
        <v>236</v>
      </c>
    </row>
    <row r="469">
      <c r="T469" s="85" t="s">
        <v>236</v>
      </c>
    </row>
    <row r="470">
      <c r="T470" s="85" t="s">
        <v>236</v>
      </c>
    </row>
    <row r="471">
      <c r="T471" s="85" t="s">
        <v>236</v>
      </c>
    </row>
    <row r="472">
      <c r="T472" s="85" t="s">
        <v>236</v>
      </c>
    </row>
    <row r="473">
      <c r="T473" s="85" t="s">
        <v>236</v>
      </c>
    </row>
    <row r="474">
      <c r="T474" s="85" t="s">
        <v>236</v>
      </c>
    </row>
    <row r="475">
      <c r="T475" s="85" t="s">
        <v>236</v>
      </c>
    </row>
    <row r="476">
      <c r="T476" s="85" t="s">
        <v>236</v>
      </c>
    </row>
    <row r="477">
      <c r="T477" s="85" t="s">
        <v>236</v>
      </c>
    </row>
    <row r="478">
      <c r="T478" s="85" t="s">
        <v>236</v>
      </c>
    </row>
    <row r="479">
      <c r="T479" s="85" t="s">
        <v>236</v>
      </c>
    </row>
    <row r="480">
      <c r="T480" s="85" t="s">
        <v>236</v>
      </c>
    </row>
    <row r="481">
      <c r="T481" s="85" t="s">
        <v>236</v>
      </c>
    </row>
    <row r="482">
      <c r="T482" s="85" t="s">
        <v>236</v>
      </c>
    </row>
    <row r="483">
      <c r="T483" s="85" t="s">
        <v>236</v>
      </c>
    </row>
    <row r="484">
      <c r="T484" s="85" t="s">
        <v>236</v>
      </c>
    </row>
    <row r="485">
      <c r="T485" s="85" t="s">
        <v>236</v>
      </c>
    </row>
    <row r="486">
      <c r="T486" s="85" t="s">
        <v>236</v>
      </c>
    </row>
    <row r="487">
      <c r="T487" s="85" t="s">
        <v>236</v>
      </c>
    </row>
    <row r="488">
      <c r="T488" s="85" t="s">
        <v>236</v>
      </c>
    </row>
    <row r="489">
      <c r="T489" s="85" t="s">
        <v>236</v>
      </c>
    </row>
    <row r="490">
      <c r="T490" s="85" t="s">
        <v>236</v>
      </c>
    </row>
    <row r="491">
      <c r="T491" s="85" t="s">
        <v>236</v>
      </c>
    </row>
    <row r="492">
      <c r="T492" s="85" t="s">
        <v>236</v>
      </c>
    </row>
    <row r="493">
      <c r="T493" s="85" t="s">
        <v>236</v>
      </c>
    </row>
    <row r="494">
      <c r="T494" s="85" t="s">
        <v>236</v>
      </c>
    </row>
    <row r="495">
      <c r="T495" s="85" t="s">
        <v>236</v>
      </c>
    </row>
    <row r="496">
      <c r="T496" s="85" t="s">
        <v>236</v>
      </c>
    </row>
    <row r="497">
      <c r="T497" s="85" t="s">
        <v>236</v>
      </c>
    </row>
    <row r="498">
      <c r="T498" s="85" t="s">
        <v>236</v>
      </c>
    </row>
    <row r="499">
      <c r="T499" s="85" t="s">
        <v>236</v>
      </c>
    </row>
    <row r="500">
      <c r="T500" s="85" t="s">
        <v>236</v>
      </c>
    </row>
    <row r="501">
      <c r="T501" s="85" t="s">
        <v>236</v>
      </c>
    </row>
    <row r="502">
      <c r="T502" s="85" t="s">
        <v>236</v>
      </c>
    </row>
    <row r="503">
      <c r="T503" s="85" t="s">
        <v>236</v>
      </c>
    </row>
    <row r="504">
      <c r="T504" s="85" t="s">
        <v>236</v>
      </c>
    </row>
    <row r="505">
      <c r="T505" s="85" t="s">
        <v>236</v>
      </c>
    </row>
    <row r="506">
      <c r="T506" s="85" t="s">
        <v>236</v>
      </c>
    </row>
    <row r="507">
      <c r="T507" s="85" t="s">
        <v>236</v>
      </c>
    </row>
    <row r="508">
      <c r="T508" s="85" t="s">
        <v>236</v>
      </c>
    </row>
    <row r="509">
      <c r="T509" s="85" t="s">
        <v>236</v>
      </c>
    </row>
    <row r="510">
      <c r="T510" s="85" t="s">
        <v>236</v>
      </c>
    </row>
    <row r="511">
      <c r="T511" s="85" t="s">
        <v>236</v>
      </c>
    </row>
    <row r="512">
      <c r="T512" s="85" t="s">
        <v>236</v>
      </c>
    </row>
    <row r="513">
      <c r="T513" s="85" t="s">
        <v>236</v>
      </c>
    </row>
    <row r="514">
      <c r="T514" s="85" t="s">
        <v>236</v>
      </c>
    </row>
    <row r="515">
      <c r="T515" s="85" t="s">
        <v>236</v>
      </c>
    </row>
    <row r="516">
      <c r="T516" s="85" t="s">
        <v>236</v>
      </c>
    </row>
    <row r="517">
      <c r="T517" s="85" t="s">
        <v>236</v>
      </c>
    </row>
    <row r="518">
      <c r="T518" s="85" t="s">
        <v>236</v>
      </c>
    </row>
    <row r="519">
      <c r="T519" s="85" t="s">
        <v>236</v>
      </c>
    </row>
    <row r="520">
      <c r="T520" s="85" t="s">
        <v>236</v>
      </c>
    </row>
    <row r="521">
      <c r="T521" s="85" t="s">
        <v>236</v>
      </c>
    </row>
    <row r="522">
      <c r="T522" s="85" t="s">
        <v>236</v>
      </c>
    </row>
    <row r="523">
      <c r="T523" s="85" t="s">
        <v>236</v>
      </c>
    </row>
    <row r="524">
      <c r="T524" s="85" t="s">
        <v>236</v>
      </c>
    </row>
    <row r="525">
      <c r="T525" s="85" t="s">
        <v>236</v>
      </c>
    </row>
    <row r="526">
      <c r="T526" s="85" t="s">
        <v>236</v>
      </c>
    </row>
    <row r="527">
      <c r="T527" s="85" t="s">
        <v>236</v>
      </c>
    </row>
    <row r="528">
      <c r="T528" s="85" t="s">
        <v>236</v>
      </c>
    </row>
    <row r="529">
      <c r="T529" s="85" t="s">
        <v>236</v>
      </c>
    </row>
    <row r="530">
      <c r="T530" s="85" t="s">
        <v>236</v>
      </c>
    </row>
    <row r="531">
      <c r="T531" s="85" t="s">
        <v>236</v>
      </c>
    </row>
    <row r="532">
      <c r="T532" s="85" t="s">
        <v>236</v>
      </c>
    </row>
    <row r="533">
      <c r="T533" s="85" t="s">
        <v>236</v>
      </c>
    </row>
    <row r="534">
      <c r="T534" s="85" t="s">
        <v>236</v>
      </c>
    </row>
    <row r="535">
      <c r="T535" s="85" t="s">
        <v>236</v>
      </c>
    </row>
    <row r="536">
      <c r="T536" s="85" t="s">
        <v>236</v>
      </c>
    </row>
    <row r="537">
      <c r="T537" s="85" t="s">
        <v>236</v>
      </c>
    </row>
    <row r="538">
      <c r="T538" s="85" t="s">
        <v>236</v>
      </c>
    </row>
    <row r="539">
      <c r="T539" s="85" t="s">
        <v>236</v>
      </c>
    </row>
    <row r="540">
      <c r="T540" s="85" t="s">
        <v>236</v>
      </c>
    </row>
    <row r="541">
      <c r="T541" s="85" t="s">
        <v>236</v>
      </c>
    </row>
    <row r="542">
      <c r="T542" s="85" t="s">
        <v>236</v>
      </c>
    </row>
    <row r="543">
      <c r="T543" s="85" t="s">
        <v>236</v>
      </c>
    </row>
    <row r="544">
      <c r="T544" s="85" t="s">
        <v>236</v>
      </c>
    </row>
    <row r="545">
      <c r="T545" s="85" t="s">
        <v>236</v>
      </c>
    </row>
    <row r="546">
      <c r="T546" s="85" t="s">
        <v>236</v>
      </c>
    </row>
    <row r="547">
      <c r="T547" s="85" t="s">
        <v>236</v>
      </c>
    </row>
    <row r="548">
      <c r="T548" s="85" t="s">
        <v>236</v>
      </c>
    </row>
    <row r="549">
      <c r="T549" s="85" t="s">
        <v>236</v>
      </c>
    </row>
    <row r="550">
      <c r="T550" s="85" t="s">
        <v>236</v>
      </c>
    </row>
    <row r="551">
      <c r="T551" s="85" t="s">
        <v>236</v>
      </c>
    </row>
    <row r="552">
      <c r="T552" s="85" t="s">
        <v>236</v>
      </c>
    </row>
    <row r="553">
      <c r="T553" s="85" t="s">
        <v>236</v>
      </c>
    </row>
    <row r="554">
      <c r="T554" s="85" t="s">
        <v>236</v>
      </c>
    </row>
    <row r="555">
      <c r="T555" s="85" t="s">
        <v>236</v>
      </c>
    </row>
    <row r="556">
      <c r="T556" s="85" t="s">
        <v>236</v>
      </c>
    </row>
    <row r="557">
      <c r="T557" s="85" t="s">
        <v>236</v>
      </c>
    </row>
    <row r="558">
      <c r="T558" s="85" t="s">
        <v>236</v>
      </c>
    </row>
    <row r="559">
      <c r="T559" s="85" t="s">
        <v>236</v>
      </c>
    </row>
    <row r="560">
      <c r="T560" s="85" t="s">
        <v>236</v>
      </c>
    </row>
    <row r="561">
      <c r="T561" s="85" t="s">
        <v>236</v>
      </c>
    </row>
    <row r="562">
      <c r="T562" s="85" t="s">
        <v>236</v>
      </c>
    </row>
    <row r="563">
      <c r="T563" s="85" t="s">
        <v>236</v>
      </c>
    </row>
    <row r="564">
      <c r="T564" s="85" t="s">
        <v>236</v>
      </c>
    </row>
    <row r="565">
      <c r="T565" s="85" t="s">
        <v>236</v>
      </c>
    </row>
    <row r="566">
      <c r="T566" s="85" t="s">
        <v>236</v>
      </c>
    </row>
    <row r="567">
      <c r="T567" s="85" t="s">
        <v>236</v>
      </c>
    </row>
    <row r="568">
      <c r="T568" s="85" t="s">
        <v>236</v>
      </c>
    </row>
    <row r="569">
      <c r="T569" s="85" t="s">
        <v>236</v>
      </c>
    </row>
    <row r="570">
      <c r="T570" s="85" t="s">
        <v>236</v>
      </c>
    </row>
    <row r="571">
      <c r="T571" s="85" t="s">
        <v>236</v>
      </c>
    </row>
    <row r="572">
      <c r="T572" s="85" t="s">
        <v>236</v>
      </c>
    </row>
    <row r="573">
      <c r="T573" s="85" t="s">
        <v>236</v>
      </c>
    </row>
    <row r="574">
      <c r="T574" s="85" t="s">
        <v>236</v>
      </c>
    </row>
    <row r="575">
      <c r="T575" s="85" t="s">
        <v>236</v>
      </c>
    </row>
    <row r="576">
      <c r="T576" s="85" t="s">
        <v>236</v>
      </c>
    </row>
    <row r="577">
      <c r="T577" s="85" t="s">
        <v>236</v>
      </c>
    </row>
    <row r="578">
      <c r="T578" s="85" t="s">
        <v>236</v>
      </c>
    </row>
    <row r="579">
      <c r="T579" s="85" t="s">
        <v>236</v>
      </c>
    </row>
    <row r="580">
      <c r="T580" s="85" t="s">
        <v>236</v>
      </c>
    </row>
    <row r="581">
      <c r="T581" s="85" t="s">
        <v>236</v>
      </c>
    </row>
    <row r="582">
      <c r="T582" s="85" t="s">
        <v>236</v>
      </c>
    </row>
    <row r="583">
      <c r="T583" s="85" t="s">
        <v>236</v>
      </c>
    </row>
    <row r="584">
      <c r="T584" s="85" t="s">
        <v>236</v>
      </c>
    </row>
    <row r="585">
      <c r="T585" s="85" t="s">
        <v>236</v>
      </c>
    </row>
    <row r="586">
      <c r="T586" s="85" t="s">
        <v>236</v>
      </c>
    </row>
    <row r="587">
      <c r="T587" s="85" t="s">
        <v>236</v>
      </c>
    </row>
    <row r="588">
      <c r="T588" s="85" t="s">
        <v>236</v>
      </c>
    </row>
    <row r="589">
      <c r="T589" s="85" t="s">
        <v>236</v>
      </c>
    </row>
    <row r="590">
      <c r="T590" s="85" t="s">
        <v>236</v>
      </c>
    </row>
    <row r="591">
      <c r="T591" s="85" t="s">
        <v>236</v>
      </c>
    </row>
    <row r="592">
      <c r="T592" s="85" t="s">
        <v>236</v>
      </c>
    </row>
    <row r="593">
      <c r="T593" s="85" t="s">
        <v>236</v>
      </c>
    </row>
    <row r="594">
      <c r="T594" s="85" t="s">
        <v>236</v>
      </c>
    </row>
    <row r="595">
      <c r="T595" s="85" t="s">
        <v>236</v>
      </c>
    </row>
    <row r="596">
      <c r="T596" s="85" t="s">
        <v>236</v>
      </c>
    </row>
    <row r="597">
      <c r="T597" s="85" t="s">
        <v>236</v>
      </c>
    </row>
    <row r="598">
      <c r="T598" s="85" t="s">
        <v>236</v>
      </c>
    </row>
    <row r="599">
      <c r="T599" s="85" t="s">
        <v>236</v>
      </c>
    </row>
    <row r="600">
      <c r="T600" s="85" t="s">
        <v>236</v>
      </c>
    </row>
    <row r="601">
      <c r="T601" s="85" t="s">
        <v>236</v>
      </c>
    </row>
    <row r="602">
      <c r="T602" s="85" t="s">
        <v>236</v>
      </c>
    </row>
    <row r="603">
      <c r="T603" s="85" t="s">
        <v>236</v>
      </c>
    </row>
    <row r="604">
      <c r="T604" s="85" t="s">
        <v>236</v>
      </c>
    </row>
    <row r="605">
      <c r="T605" s="85" t="s">
        <v>236</v>
      </c>
    </row>
    <row r="606">
      <c r="T606" s="85" t="s">
        <v>236</v>
      </c>
    </row>
    <row r="607">
      <c r="T607" s="85" t="s">
        <v>236</v>
      </c>
    </row>
    <row r="608">
      <c r="T608" s="85" t="s">
        <v>236</v>
      </c>
    </row>
    <row r="609">
      <c r="T609" s="85" t="s">
        <v>236</v>
      </c>
    </row>
    <row r="610">
      <c r="T610" s="85" t="s">
        <v>236</v>
      </c>
    </row>
    <row r="611">
      <c r="T611" s="85" t="s">
        <v>236</v>
      </c>
    </row>
    <row r="612">
      <c r="T612" s="85" t="s">
        <v>236</v>
      </c>
    </row>
    <row r="613">
      <c r="T613" s="85" t="s">
        <v>236</v>
      </c>
    </row>
    <row r="614">
      <c r="T614" s="85" t="s">
        <v>236</v>
      </c>
    </row>
    <row r="615">
      <c r="T615" s="85" t="s">
        <v>236</v>
      </c>
    </row>
    <row r="616">
      <c r="T616" s="85" t="s">
        <v>236</v>
      </c>
    </row>
    <row r="617">
      <c r="T617" s="85" t="s">
        <v>236</v>
      </c>
    </row>
    <row r="618">
      <c r="T618" s="85" t="s">
        <v>236</v>
      </c>
    </row>
    <row r="619">
      <c r="T619" s="85" t="s">
        <v>236</v>
      </c>
    </row>
    <row r="620">
      <c r="T620" s="85" t="s">
        <v>236</v>
      </c>
    </row>
    <row r="621">
      <c r="T621" s="85" t="s">
        <v>236</v>
      </c>
    </row>
    <row r="622">
      <c r="T622" s="85" t="s">
        <v>236</v>
      </c>
    </row>
    <row r="623">
      <c r="T623" s="85" t="s">
        <v>236</v>
      </c>
    </row>
    <row r="624">
      <c r="T624" s="85" t="s">
        <v>236</v>
      </c>
    </row>
    <row r="625">
      <c r="T625" s="85" t="s">
        <v>236</v>
      </c>
    </row>
    <row r="626">
      <c r="T626" s="85" t="s">
        <v>236</v>
      </c>
    </row>
    <row r="627">
      <c r="T627" s="85" t="s">
        <v>236</v>
      </c>
    </row>
    <row r="628">
      <c r="T628" s="85" t="s">
        <v>236</v>
      </c>
    </row>
    <row r="629">
      <c r="T629" s="85" t="s">
        <v>236</v>
      </c>
    </row>
    <row r="630">
      <c r="T630" s="85" t="s">
        <v>236</v>
      </c>
    </row>
    <row r="631">
      <c r="T631" s="85" t="s">
        <v>236</v>
      </c>
    </row>
    <row r="632">
      <c r="T632" s="85" t="s">
        <v>236</v>
      </c>
    </row>
    <row r="633">
      <c r="T633" s="85" t="s">
        <v>236</v>
      </c>
    </row>
    <row r="634">
      <c r="T634" s="85" t="s">
        <v>236</v>
      </c>
    </row>
    <row r="635">
      <c r="T635" s="85" t="s">
        <v>236</v>
      </c>
    </row>
    <row r="636">
      <c r="T636" s="85" t="s">
        <v>236</v>
      </c>
    </row>
    <row r="637">
      <c r="T637" s="85" t="s">
        <v>236</v>
      </c>
    </row>
    <row r="638">
      <c r="T638" s="85" t="s">
        <v>236</v>
      </c>
    </row>
    <row r="639">
      <c r="T639" s="85" t="s">
        <v>236</v>
      </c>
    </row>
    <row r="640">
      <c r="T640" s="85" t="s">
        <v>236</v>
      </c>
    </row>
    <row r="641">
      <c r="T641" s="85" t="s">
        <v>236</v>
      </c>
    </row>
    <row r="642">
      <c r="T642" s="85" t="s">
        <v>236</v>
      </c>
    </row>
    <row r="643">
      <c r="T643" s="85" t="s">
        <v>236</v>
      </c>
    </row>
    <row r="644">
      <c r="T644" s="85" t="s">
        <v>236</v>
      </c>
    </row>
    <row r="645">
      <c r="T645" s="85" t="s">
        <v>236</v>
      </c>
    </row>
    <row r="646">
      <c r="T646" s="85" t="s">
        <v>236</v>
      </c>
    </row>
    <row r="647">
      <c r="T647" s="85" t="s">
        <v>236</v>
      </c>
    </row>
    <row r="648">
      <c r="T648" s="85" t="s">
        <v>236</v>
      </c>
    </row>
    <row r="649">
      <c r="T649" s="85" t="s">
        <v>236</v>
      </c>
    </row>
    <row r="650">
      <c r="T650" s="85" t="s">
        <v>236</v>
      </c>
    </row>
    <row r="651">
      <c r="T651" s="85" t="s">
        <v>236</v>
      </c>
    </row>
    <row r="652">
      <c r="T652" s="85" t="s">
        <v>236</v>
      </c>
    </row>
    <row r="653">
      <c r="T653" s="85" t="s">
        <v>236</v>
      </c>
    </row>
    <row r="654">
      <c r="T654" s="85" t="s">
        <v>236</v>
      </c>
    </row>
    <row r="655">
      <c r="T655" s="85" t="s">
        <v>236</v>
      </c>
    </row>
    <row r="656">
      <c r="T656" s="85" t="s">
        <v>236</v>
      </c>
    </row>
    <row r="657">
      <c r="T657" s="85" t="s">
        <v>236</v>
      </c>
    </row>
    <row r="658">
      <c r="T658" s="85" t="s">
        <v>236</v>
      </c>
    </row>
    <row r="659">
      <c r="T659" s="85" t="s">
        <v>236</v>
      </c>
    </row>
    <row r="660">
      <c r="T660" s="85" t="s">
        <v>236</v>
      </c>
    </row>
    <row r="661">
      <c r="T661" s="85" t="s">
        <v>236</v>
      </c>
    </row>
    <row r="662">
      <c r="T662" s="85" t="s">
        <v>236</v>
      </c>
    </row>
    <row r="663">
      <c r="T663" s="85" t="s">
        <v>236</v>
      </c>
    </row>
    <row r="664">
      <c r="T664" s="85" t="s">
        <v>236</v>
      </c>
    </row>
    <row r="665">
      <c r="T665" s="85" t="s">
        <v>236</v>
      </c>
    </row>
    <row r="666">
      <c r="T666" s="85" t="s">
        <v>236</v>
      </c>
    </row>
    <row r="667">
      <c r="T667" s="85" t="s">
        <v>236</v>
      </c>
    </row>
    <row r="668">
      <c r="T668" s="85" t="s">
        <v>236</v>
      </c>
    </row>
    <row r="669">
      <c r="T669" s="85" t="s">
        <v>236</v>
      </c>
    </row>
    <row r="670">
      <c r="T670" s="85" t="s">
        <v>236</v>
      </c>
    </row>
    <row r="671">
      <c r="T671" s="85" t="s">
        <v>236</v>
      </c>
    </row>
    <row r="672">
      <c r="T672" s="85" t="s">
        <v>236</v>
      </c>
    </row>
    <row r="673">
      <c r="T673" s="85" t="s">
        <v>236</v>
      </c>
    </row>
    <row r="674">
      <c r="T674" s="85" t="s">
        <v>236</v>
      </c>
    </row>
    <row r="675">
      <c r="T675" s="85" t="s">
        <v>236</v>
      </c>
    </row>
    <row r="676">
      <c r="T676" s="85" t="s">
        <v>236</v>
      </c>
    </row>
    <row r="677">
      <c r="T677" s="85" t="s">
        <v>236</v>
      </c>
    </row>
    <row r="678">
      <c r="T678" s="85" t="s">
        <v>236</v>
      </c>
    </row>
    <row r="679">
      <c r="T679" s="85" t="s">
        <v>236</v>
      </c>
    </row>
    <row r="680">
      <c r="T680" s="85" t="s">
        <v>236</v>
      </c>
    </row>
    <row r="681">
      <c r="T681" s="85" t="s">
        <v>236</v>
      </c>
    </row>
    <row r="682">
      <c r="T682" s="85" t="s">
        <v>236</v>
      </c>
    </row>
    <row r="683">
      <c r="T683" s="85" t="s">
        <v>236</v>
      </c>
    </row>
    <row r="684">
      <c r="T684" s="85" t="s">
        <v>236</v>
      </c>
    </row>
    <row r="685">
      <c r="T685" s="85" t="s">
        <v>236</v>
      </c>
    </row>
    <row r="686">
      <c r="T686" s="85" t="s">
        <v>236</v>
      </c>
    </row>
    <row r="687">
      <c r="T687" s="85" t="s">
        <v>236</v>
      </c>
    </row>
    <row r="688">
      <c r="T688" s="85" t="s">
        <v>236</v>
      </c>
    </row>
    <row r="689">
      <c r="T689" s="85" t="s">
        <v>236</v>
      </c>
    </row>
    <row r="690">
      <c r="T690" s="85" t="s">
        <v>236</v>
      </c>
    </row>
    <row r="691">
      <c r="T691" s="85" t="s">
        <v>236</v>
      </c>
    </row>
    <row r="692">
      <c r="T692" s="85" t="s">
        <v>236</v>
      </c>
    </row>
    <row r="693">
      <c r="T693" s="85" t="s">
        <v>236</v>
      </c>
    </row>
    <row r="694">
      <c r="T694" s="85" t="s">
        <v>236</v>
      </c>
    </row>
    <row r="695">
      <c r="T695" s="85" t="s">
        <v>236</v>
      </c>
    </row>
    <row r="696">
      <c r="T696" s="85" t="s">
        <v>236</v>
      </c>
    </row>
    <row r="697">
      <c r="T697" s="85" t="s">
        <v>236</v>
      </c>
    </row>
    <row r="698">
      <c r="T698" s="85" t="s">
        <v>236</v>
      </c>
    </row>
    <row r="699">
      <c r="T699" s="85" t="s">
        <v>236</v>
      </c>
    </row>
    <row r="700">
      <c r="T700" s="85" t="s">
        <v>236</v>
      </c>
    </row>
    <row r="701">
      <c r="T701" s="85" t="s">
        <v>236</v>
      </c>
    </row>
    <row r="702">
      <c r="T702" s="85" t="s">
        <v>236</v>
      </c>
    </row>
    <row r="703">
      <c r="T703" s="85" t="s">
        <v>236</v>
      </c>
    </row>
    <row r="704">
      <c r="T704" s="85" t="s">
        <v>236</v>
      </c>
    </row>
    <row r="705">
      <c r="T705" s="85" t="s">
        <v>236</v>
      </c>
    </row>
    <row r="706">
      <c r="T706" s="85" t="s">
        <v>236</v>
      </c>
    </row>
    <row r="707">
      <c r="T707" s="85" t="s">
        <v>236</v>
      </c>
    </row>
    <row r="708">
      <c r="T708" s="85" t="s">
        <v>236</v>
      </c>
    </row>
    <row r="709">
      <c r="T709" s="85" t="s">
        <v>236</v>
      </c>
    </row>
    <row r="710">
      <c r="T710" s="85" t="s">
        <v>236</v>
      </c>
    </row>
    <row r="711">
      <c r="T711" s="85" t="s">
        <v>236</v>
      </c>
    </row>
    <row r="712">
      <c r="T712" s="85" t="s">
        <v>236</v>
      </c>
    </row>
    <row r="713">
      <c r="T713" s="85" t="s">
        <v>236</v>
      </c>
    </row>
    <row r="714">
      <c r="T714" s="85" t="s">
        <v>236</v>
      </c>
    </row>
    <row r="715">
      <c r="T715" s="85" t="s">
        <v>236</v>
      </c>
    </row>
    <row r="716">
      <c r="T716" s="85" t="s">
        <v>236</v>
      </c>
    </row>
    <row r="717">
      <c r="T717" s="85" t="s">
        <v>236</v>
      </c>
    </row>
    <row r="718">
      <c r="T718" s="85" t="s">
        <v>236</v>
      </c>
    </row>
    <row r="719">
      <c r="T719" s="85" t="s">
        <v>236</v>
      </c>
    </row>
    <row r="720">
      <c r="T720" s="85" t="s">
        <v>236</v>
      </c>
    </row>
    <row r="721">
      <c r="T721" s="85" t="s">
        <v>236</v>
      </c>
    </row>
    <row r="722">
      <c r="T722" s="85" t="s">
        <v>236</v>
      </c>
    </row>
    <row r="723">
      <c r="T723" s="85" t="s">
        <v>236</v>
      </c>
    </row>
    <row r="724">
      <c r="T724" s="85" t="s">
        <v>236</v>
      </c>
    </row>
    <row r="725">
      <c r="T725" s="85" t="s">
        <v>236</v>
      </c>
    </row>
    <row r="726">
      <c r="T726" s="85" t="s">
        <v>236</v>
      </c>
    </row>
    <row r="727">
      <c r="T727" s="85" t="s">
        <v>236</v>
      </c>
    </row>
    <row r="728">
      <c r="T728" s="85" t="s">
        <v>236</v>
      </c>
    </row>
    <row r="729">
      <c r="T729" s="85" t="s">
        <v>236</v>
      </c>
    </row>
    <row r="730">
      <c r="T730" s="85" t="s">
        <v>236</v>
      </c>
    </row>
    <row r="731">
      <c r="T731" s="85" t="s">
        <v>236</v>
      </c>
    </row>
    <row r="732">
      <c r="T732" s="85" t="s">
        <v>236</v>
      </c>
    </row>
    <row r="733">
      <c r="T733" s="85" t="s">
        <v>236</v>
      </c>
    </row>
    <row r="734">
      <c r="T734" s="85" t="s">
        <v>236</v>
      </c>
    </row>
    <row r="735">
      <c r="T735" s="85" t="s">
        <v>236</v>
      </c>
    </row>
    <row r="736">
      <c r="T736" s="85" t="s">
        <v>236</v>
      </c>
    </row>
    <row r="737">
      <c r="T737" s="85" t="s">
        <v>236</v>
      </c>
    </row>
    <row r="738">
      <c r="T738" s="85" t="s">
        <v>236</v>
      </c>
    </row>
    <row r="739">
      <c r="T739" s="85" t="s">
        <v>236</v>
      </c>
    </row>
    <row r="740">
      <c r="T740" s="85" t="s">
        <v>236</v>
      </c>
    </row>
    <row r="741">
      <c r="T741" s="85" t="s">
        <v>236</v>
      </c>
    </row>
    <row r="742">
      <c r="T742" s="85" t="s">
        <v>236</v>
      </c>
    </row>
    <row r="743">
      <c r="T743" s="85" t="s">
        <v>236</v>
      </c>
    </row>
    <row r="744">
      <c r="T744" s="85" t="s">
        <v>236</v>
      </c>
    </row>
    <row r="745">
      <c r="T745" s="85" t="s">
        <v>236</v>
      </c>
    </row>
    <row r="746">
      <c r="T746" s="85" t="s">
        <v>236</v>
      </c>
    </row>
    <row r="747">
      <c r="T747" s="85" t="s">
        <v>236</v>
      </c>
    </row>
    <row r="748">
      <c r="T748" s="85" t="s">
        <v>236</v>
      </c>
    </row>
    <row r="749">
      <c r="T749" s="85" t="s">
        <v>236</v>
      </c>
    </row>
    <row r="750">
      <c r="T750" s="85" t="s">
        <v>236</v>
      </c>
    </row>
    <row r="751">
      <c r="T751" s="85" t="s">
        <v>236</v>
      </c>
    </row>
    <row r="752">
      <c r="T752" s="85" t="s">
        <v>236</v>
      </c>
    </row>
    <row r="753">
      <c r="T753" s="85" t="s">
        <v>236</v>
      </c>
    </row>
    <row r="754">
      <c r="T754" s="85" t="s">
        <v>236</v>
      </c>
    </row>
    <row r="755">
      <c r="T755" s="85" t="s">
        <v>236</v>
      </c>
    </row>
    <row r="756">
      <c r="T756" s="85" t="s">
        <v>236</v>
      </c>
    </row>
    <row r="757">
      <c r="T757" s="85" t="s">
        <v>236</v>
      </c>
    </row>
    <row r="758">
      <c r="T758" s="85" t="s">
        <v>236</v>
      </c>
    </row>
    <row r="759">
      <c r="T759" s="85" t="s">
        <v>236</v>
      </c>
    </row>
    <row r="760">
      <c r="T760" s="85" t="s">
        <v>236</v>
      </c>
    </row>
    <row r="761">
      <c r="T761" s="85" t="s">
        <v>236</v>
      </c>
    </row>
    <row r="762">
      <c r="T762" s="85" t="s">
        <v>236</v>
      </c>
    </row>
    <row r="763">
      <c r="T763" s="85" t="s">
        <v>236</v>
      </c>
    </row>
    <row r="764">
      <c r="T764" s="85" t="s">
        <v>236</v>
      </c>
    </row>
    <row r="765">
      <c r="T765" s="85" t="s">
        <v>236</v>
      </c>
    </row>
    <row r="766">
      <c r="T766" s="85" t="s">
        <v>236</v>
      </c>
    </row>
    <row r="767">
      <c r="T767" s="85" t="s">
        <v>236</v>
      </c>
    </row>
    <row r="768">
      <c r="T768" s="85" t="s">
        <v>236</v>
      </c>
    </row>
    <row r="769">
      <c r="T769" s="85" t="s">
        <v>236</v>
      </c>
    </row>
    <row r="770">
      <c r="T770" s="85" t="s">
        <v>236</v>
      </c>
    </row>
    <row r="771">
      <c r="T771" s="85" t="s">
        <v>236</v>
      </c>
    </row>
    <row r="772">
      <c r="T772" s="85" t="s">
        <v>236</v>
      </c>
    </row>
    <row r="773">
      <c r="T773" s="85" t="s">
        <v>236</v>
      </c>
    </row>
    <row r="774">
      <c r="T774" s="85" t="s">
        <v>236</v>
      </c>
    </row>
    <row r="775">
      <c r="T775" s="85" t="s">
        <v>236</v>
      </c>
    </row>
    <row r="776">
      <c r="T776" s="85" t="s">
        <v>236</v>
      </c>
    </row>
    <row r="777">
      <c r="T777" s="85" t="s">
        <v>236</v>
      </c>
    </row>
    <row r="778">
      <c r="T778" s="85" t="s">
        <v>236</v>
      </c>
    </row>
    <row r="779">
      <c r="T779" s="85" t="s">
        <v>236</v>
      </c>
    </row>
    <row r="780">
      <c r="T780" s="85" t="s">
        <v>236</v>
      </c>
    </row>
    <row r="781">
      <c r="T781" s="85" t="s">
        <v>236</v>
      </c>
    </row>
    <row r="782">
      <c r="T782" s="85" t="s">
        <v>236</v>
      </c>
    </row>
    <row r="783">
      <c r="T783" s="85" t="s">
        <v>236</v>
      </c>
    </row>
    <row r="784">
      <c r="T784" s="85" t="s">
        <v>236</v>
      </c>
    </row>
    <row r="785">
      <c r="T785" s="85" t="s">
        <v>236</v>
      </c>
    </row>
    <row r="786">
      <c r="T786" s="85" t="s">
        <v>236</v>
      </c>
    </row>
    <row r="787">
      <c r="T787" s="85" t="s">
        <v>236</v>
      </c>
    </row>
    <row r="788">
      <c r="T788" s="85" t="s">
        <v>236</v>
      </c>
    </row>
    <row r="789">
      <c r="T789" s="85" t="s">
        <v>236</v>
      </c>
    </row>
    <row r="790">
      <c r="T790" s="85" t="s">
        <v>236</v>
      </c>
    </row>
    <row r="791">
      <c r="T791" s="85" t="s">
        <v>236</v>
      </c>
    </row>
    <row r="792">
      <c r="T792" s="85" t="s">
        <v>236</v>
      </c>
    </row>
    <row r="793">
      <c r="T793" s="85" t="s">
        <v>236</v>
      </c>
    </row>
    <row r="794">
      <c r="T794" s="85" t="s">
        <v>236</v>
      </c>
    </row>
    <row r="795">
      <c r="T795" s="85" t="s">
        <v>236</v>
      </c>
    </row>
    <row r="796">
      <c r="T796" s="85" t="s">
        <v>236</v>
      </c>
    </row>
    <row r="797">
      <c r="T797" s="85" t="s">
        <v>236</v>
      </c>
    </row>
    <row r="798">
      <c r="T798" s="85" t="s">
        <v>236</v>
      </c>
    </row>
    <row r="799">
      <c r="T799" s="85" t="s">
        <v>236</v>
      </c>
    </row>
    <row r="800">
      <c r="T800" s="85" t="s">
        <v>236</v>
      </c>
    </row>
    <row r="801">
      <c r="T801" s="85" t="s">
        <v>236</v>
      </c>
    </row>
    <row r="802">
      <c r="T802" s="85" t="s">
        <v>236</v>
      </c>
    </row>
    <row r="803">
      <c r="T803" s="85" t="s">
        <v>236</v>
      </c>
    </row>
    <row r="804">
      <c r="T804" s="85" t="s">
        <v>236</v>
      </c>
    </row>
    <row r="805">
      <c r="T805" s="85" t="s">
        <v>236</v>
      </c>
    </row>
    <row r="806">
      <c r="T806" s="85" t="s">
        <v>236</v>
      </c>
    </row>
    <row r="807">
      <c r="T807" s="85" t="s">
        <v>236</v>
      </c>
    </row>
    <row r="808">
      <c r="T808" s="85" t="s">
        <v>236</v>
      </c>
    </row>
    <row r="809">
      <c r="T809" s="85" t="s">
        <v>236</v>
      </c>
    </row>
    <row r="810">
      <c r="T810" s="85" t="s">
        <v>236</v>
      </c>
    </row>
    <row r="811">
      <c r="T811" s="85" t="s">
        <v>236</v>
      </c>
    </row>
    <row r="812">
      <c r="T812" s="85" t="s">
        <v>236</v>
      </c>
    </row>
    <row r="813">
      <c r="T813" s="85" t="s">
        <v>236</v>
      </c>
    </row>
    <row r="814">
      <c r="T814" s="85" t="s">
        <v>236</v>
      </c>
    </row>
    <row r="815">
      <c r="T815" s="85" t="s">
        <v>236</v>
      </c>
    </row>
    <row r="816">
      <c r="T816" s="85" t="s">
        <v>236</v>
      </c>
    </row>
    <row r="817">
      <c r="T817" s="85" t="s">
        <v>236</v>
      </c>
    </row>
    <row r="818">
      <c r="T818" s="85" t="s">
        <v>236</v>
      </c>
    </row>
    <row r="819">
      <c r="T819" s="85" t="s">
        <v>236</v>
      </c>
    </row>
    <row r="820">
      <c r="T820" s="85" t="s">
        <v>236</v>
      </c>
    </row>
    <row r="821">
      <c r="T821" s="85" t="s">
        <v>236</v>
      </c>
    </row>
    <row r="822">
      <c r="T822" s="85" t="s">
        <v>236</v>
      </c>
    </row>
    <row r="823">
      <c r="T823" s="85" t="s">
        <v>236</v>
      </c>
    </row>
    <row r="824">
      <c r="T824" s="85" t="s">
        <v>236</v>
      </c>
    </row>
    <row r="825">
      <c r="T825" s="85" t="s">
        <v>236</v>
      </c>
    </row>
    <row r="826">
      <c r="T826" s="85" t="s">
        <v>236</v>
      </c>
    </row>
    <row r="827">
      <c r="T827" s="85" t="s">
        <v>236</v>
      </c>
    </row>
    <row r="828">
      <c r="T828" s="85" t="s">
        <v>236</v>
      </c>
    </row>
    <row r="829">
      <c r="T829" s="85" t="s">
        <v>236</v>
      </c>
    </row>
    <row r="830">
      <c r="T830" s="85" t="s">
        <v>236</v>
      </c>
    </row>
    <row r="831">
      <c r="T831" s="85" t="s">
        <v>236</v>
      </c>
    </row>
    <row r="832">
      <c r="T832" s="85" t="s">
        <v>236</v>
      </c>
    </row>
    <row r="833">
      <c r="T833" s="85" t="s">
        <v>236</v>
      </c>
    </row>
    <row r="834">
      <c r="T834" s="85" t="s">
        <v>236</v>
      </c>
    </row>
    <row r="835">
      <c r="T835" s="85" t="s">
        <v>236</v>
      </c>
    </row>
    <row r="836">
      <c r="T836" s="85" t="s">
        <v>236</v>
      </c>
    </row>
    <row r="837">
      <c r="T837" s="85" t="s">
        <v>236</v>
      </c>
    </row>
    <row r="838">
      <c r="T838" s="85" t="s">
        <v>236</v>
      </c>
    </row>
    <row r="839">
      <c r="T839" s="85" t="s">
        <v>236</v>
      </c>
    </row>
    <row r="840">
      <c r="T840" s="85" t="s">
        <v>236</v>
      </c>
    </row>
    <row r="841">
      <c r="T841" s="85" t="s">
        <v>236</v>
      </c>
    </row>
    <row r="842">
      <c r="T842" s="85" t="s">
        <v>236</v>
      </c>
    </row>
    <row r="843">
      <c r="T843" s="85" t="s">
        <v>236</v>
      </c>
    </row>
    <row r="844">
      <c r="T844" s="85" t="s">
        <v>236</v>
      </c>
    </row>
    <row r="845">
      <c r="T845" s="85" t="s">
        <v>236</v>
      </c>
    </row>
    <row r="846">
      <c r="T846" s="85" t="s">
        <v>236</v>
      </c>
    </row>
    <row r="847">
      <c r="T847" s="85" t="s">
        <v>236</v>
      </c>
    </row>
    <row r="848">
      <c r="T848" s="85" t="s">
        <v>236</v>
      </c>
    </row>
    <row r="849">
      <c r="T849" s="85" t="s">
        <v>236</v>
      </c>
    </row>
    <row r="850">
      <c r="T850" s="85" t="s">
        <v>236</v>
      </c>
    </row>
    <row r="851">
      <c r="T851" s="85" t="s">
        <v>236</v>
      </c>
    </row>
    <row r="852">
      <c r="T852" s="85" t="s">
        <v>236</v>
      </c>
    </row>
    <row r="853">
      <c r="T853" s="85" t="s">
        <v>236</v>
      </c>
    </row>
    <row r="854">
      <c r="T854" s="85" t="s">
        <v>236</v>
      </c>
    </row>
    <row r="855">
      <c r="T855" s="85" t="s">
        <v>236</v>
      </c>
    </row>
    <row r="856">
      <c r="T856" s="85" t="s">
        <v>236</v>
      </c>
    </row>
    <row r="857">
      <c r="T857" s="85" t="s">
        <v>236</v>
      </c>
    </row>
    <row r="858">
      <c r="T858" s="85" t="s">
        <v>236</v>
      </c>
    </row>
    <row r="859">
      <c r="T859" s="85" t="s">
        <v>236</v>
      </c>
    </row>
    <row r="860">
      <c r="T860" s="85" t="s">
        <v>236</v>
      </c>
    </row>
    <row r="861">
      <c r="T861" s="85" t="s">
        <v>236</v>
      </c>
    </row>
    <row r="862">
      <c r="T862" s="85" t="s">
        <v>236</v>
      </c>
    </row>
    <row r="863">
      <c r="T863" s="85" t="s">
        <v>236</v>
      </c>
    </row>
    <row r="864">
      <c r="T864" s="85" t="s">
        <v>236</v>
      </c>
    </row>
    <row r="865">
      <c r="T865" s="85" t="s">
        <v>236</v>
      </c>
    </row>
    <row r="866">
      <c r="T866" s="85" t="s">
        <v>236</v>
      </c>
    </row>
    <row r="867">
      <c r="T867" s="85" t="s">
        <v>236</v>
      </c>
    </row>
    <row r="868">
      <c r="T868" s="85" t="s">
        <v>236</v>
      </c>
    </row>
    <row r="869">
      <c r="T869" s="85" t="s">
        <v>236</v>
      </c>
    </row>
    <row r="870">
      <c r="T870" s="85" t="s">
        <v>236</v>
      </c>
    </row>
    <row r="871">
      <c r="T871" s="85" t="s">
        <v>236</v>
      </c>
    </row>
    <row r="872">
      <c r="T872" s="85" t="s">
        <v>236</v>
      </c>
    </row>
    <row r="873">
      <c r="T873" s="85" t="s">
        <v>236</v>
      </c>
    </row>
    <row r="874">
      <c r="T874" s="85" t="s">
        <v>236</v>
      </c>
    </row>
    <row r="875">
      <c r="T875" s="85" t="s">
        <v>236</v>
      </c>
    </row>
    <row r="876">
      <c r="T876" s="85" t="s">
        <v>236</v>
      </c>
    </row>
    <row r="877">
      <c r="T877" s="85" t="s">
        <v>236</v>
      </c>
    </row>
    <row r="878">
      <c r="T878" s="85" t="s">
        <v>236</v>
      </c>
    </row>
    <row r="879">
      <c r="T879" s="85" t="s">
        <v>236</v>
      </c>
    </row>
    <row r="880">
      <c r="T880" s="85" t="s">
        <v>236</v>
      </c>
    </row>
    <row r="881">
      <c r="T881" s="85" t="s">
        <v>236</v>
      </c>
    </row>
    <row r="882">
      <c r="T882" s="85" t="s">
        <v>236</v>
      </c>
    </row>
    <row r="883">
      <c r="T883" s="85" t="s">
        <v>236</v>
      </c>
    </row>
    <row r="884">
      <c r="T884" s="85" t="s">
        <v>236</v>
      </c>
    </row>
    <row r="885">
      <c r="T885" s="85" t="s">
        <v>236</v>
      </c>
    </row>
    <row r="886">
      <c r="T886" s="85" t="s">
        <v>236</v>
      </c>
    </row>
    <row r="887">
      <c r="T887" s="85" t="s">
        <v>236</v>
      </c>
    </row>
    <row r="888">
      <c r="T888" s="85" t="s">
        <v>236</v>
      </c>
    </row>
    <row r="889">
      <c r="T889" s="85" t="s">
        <v>236</v>
      </c>
    </row>
    <row r="890">
      <c r="T890" s="85" t="s">
        <v>236</v>
      </c>
    </row>
    <row r="891">
      <c r="T891" s="85" t="s">
        <v>236</v>
      </c>
    </row>
    <row r="892">
      <c r="T892" s="85" t="s">
        <v>236</v>
      </c>
    </row>
    <row r="893">
      <c r="T893" s="85" t="s">
        <v>236</v>
      </c>
    </row>
    <row r="894">
      <c r="T894" s="85" t="s">
        <v>236</v>
      </c>
    </row>
    <row r="895">
      <c r="T895" s="85" t="s">
        <v>236</v>
      </c>
    </row>
    <row r="896">
      <c r="T896" s="85" t="s">
        <v>236</v>
      </c>
    </row>
    <row r="897">
      <c r="T897" s="85" t="s">
        <v>236</v>
      </c>
    </row>
    <row r="898">
      <c r="T898" s="85" t="s">
        <v>236</v>
      </c>
    </row>
    <row r="899">
      <c r="T899" s="85" t="s">
        <v>236</v>
      </c>
    </row>
    <row r="900">
      <c r="T900" s="85" t="s">
        <v>236</v>
      </c>
    </row>
    <row r="901">
      <c r="T901" s="85" t="s">
        <v>236</v>
      </c>
    </row>
    <row r="902">
      <c r="T902" s="85" t="s">
        <v>236</v>
      </c>
    </row>
    <row r="903">
      <c r="T903" s="85" t="s">
        <v>236</v>
      </c>
    </row>
    <row r="904">
      <c r="T904" s="85" t="s">
        <v>236</v>
      </c>
    </row>
    <row r="905">
      <c r="T905" s="85" t="s">
        <v>236</v>
      </c>
    </row>
    <row r="906">
      <c r="T906" s="85" t="s">
        <v>236</v>
      </c>
    </row>
    <row r="907">
      <c r="T907" s="85" t="s">
        <v>236</v>
      </c>
    </row>
    <row r="908">
      <c r="T908" s="85" t="s">
        <v>236</v>
      </c>
    </row>
    <row r="909">
      <c r="T909" s="85" t="s">
        <v>236</v>
      </c>
    </row>
    <row r="910">
      <c r="T910" s="85" t="s">
        <v>236</v>
      </c>
    </row>
    <row r="911">
      <c r="T911" s="85" t="s">
        <v>236</v>
      </c>
    </row>
    <row r="912">
      <c r="T912" s="85" t="s">
        <v>236</v>
      </c>
    </row>
    <row r="913">
      <c r="T913" s="85" t="s">
        <v>236</v>
      </c>
    </row>
    <row r="914">
      <c r="T914" s="85" t="s">
        <v>236</v>
      </c>
    </row>
    <row r="915">
      <c r="T915" s="85" t="s">
        <v>236</v>
      </c>
    </row>
    <row r="916">
      <c r="T916" s="85" t="s">
        <v>236</v>
      </c>
    </row>
    <row r="917">
      <c r="T917" s="85" t="s">
        <v>236</v>
      </c>
    </row>
    <row r="918">
      <c r="T918" s="85" t="s">
        <v>236</v>
      </c>
    </row>
    <row r="919">
      <c r="T919" s="85" t="s">
        <v>236</v>
      </c>
    </row>
    <row r="920">
      <c r="T920" s="85" t="s">
        <v>236</v>
      </c>
    </row>
    <row r="921">
      <c r="T921" s="85" t="s">
        <v>236</v>
      </c>
    </row>
    <row r="922">
      <c r="T922" s="85" t="s">
        <v>236</v>
      </c>
    </row>
    <row r="923">
      <c r="T923" s="85" t="s">
        <v>236</v>
      </c>
    </row>
    <row r="924">
      <c r="T924" s="85" t="s">
        <v>236</v>
      </c>
    </row>
    <row r="925">
      <c r="T925" s="85" t="s">
        <v>236</v>
      </c>
    </row>
    <row r="926">
      <c r="T926" s="85" t="s">
        <v>236</v>
      </c>
    </row>
    <row r="927">
      <c r="T927" s="85" t="s">
        <v>236</v>
      </c>
    </row>
    <row r="928">
      <c r="T928" s="85" t="s">
        <v>236</v>
      </c>
    </row>
    <row r="929">
      <c r="T929" s="85" t="s">
        <v>236</v>
      </c>
    </row>
    <row r="930">
      <c r="T930" s="85" t="s">
        <v>236</v>
      </c>
    </row>
    <row r="931">
      <c r="T931" s="85" t="s">
        <v>236</v>
      </c>
    </row>
    <row r="932">
      <c r="T932" s="85" t="s">
        <v>236</v>
      </c>
    </row>
    <row r="933">
      <c r="T933" s="85" t="s">
        <v>236</v>
      </c>
    </row>
    <row r="934">
      <c r="T934" s="85" t="s">
        <v>236</v>
      </c>
    </row>
    <row r="935">
      <c r="T935" s="85" t="s">
        <v>236</v>
      </c>
    </row>
    <row r="936">
      <c r="T936" s="85" t="s">
        <v>236</v>
      </c>
    </row>
    <row r="937">
      <c r="T937" s="85" t="s">
        <v>236</v>
      </c>
    </row>
    <row r="938">
      <c r="T938" s="85" t="s">
        <v>236</v>
      </c>
    </row>
    <row r="939">
      <c r="T939" s="85" t="s">
        <v>236</v>
      </c>
    </row>
    <row r="940">
      <c r="T940" s="85" t="s">
        <v>236</v>
      </c>
    </row>
    <row r="941">
      <c r="T941" s="85" t="s">
        <v>236</v>
      </c>
    </row>
    <row r="942">
      <c r="T942" s="85" t="s">
        <v>236</v>
      </c>
    </row>
    <row r="943">
      <c r="T943" s="85" t="s">
        <v>236</v>
      </c>
    </row>
    <row r="944">
      <c r="T944" s="85" t="s">
        <v>236</v>
      </c>
    </row>
    <row r="945">
      <c r="T945" s="85" t="s">
        <v>236</v>
      </c>
    </row>
    <row r="946">
      <c r="T946" s="85" t="s">
        <v>236</v>
      </c>
    </row>
    <row r="947">
      <c r="T947" s="85" t="s">
        <v>236</v>
      </c>
    </row>
    <row r="948">
      <c r="T948" s="85" t="s">
        <v>236</v>
      </c>
    </row>
    <row r="949">
      <c r="T949" s="85" t="s">
        <v>236</v>
      </c>
    </row>
    <row r="950">
      <c r="T950" s="85" t="s">
        <v>236</v>
      </c>
    </row>
    <row r="951">
      <c r="T951" s="85" t="s">
        <v>236</v>
      </c>
    </row>
    <row r="952">
      <c r="T952" s="85" t="s">
        <v>236</v>
      </c>
    </row>
    <row r="953">
      <c r="T953" s="85" t="s">
        <v>236</v>
      </c>
    </row>
    <row r="954">
      <c r="T954" s="85" t="s">
        <v>236</v>
      </c>
    </row>
    <row r="955">
      <c r="T955" s="85" t="s">
        <v>236</v>
      </c>
    </row>
    <row r="956">
      <c r="T956" s="85" t="s">
        <v>236</v>
      </c>
    </row>
    <row r="957">
      <c r="T957" s="85" t="s">
        <v>236</v>
      </c>
    </row>
    <row r="958">
      <c r="T958" s="85" t="s">
        <v>236</v>
      </c>
    </row>
    <row r="959">
      <c r="T959" s="85" t="s">
        <v>236</v>
      </c>
    </row>
    <row r="960">
      <c r="T960" s="85" t="s">
        <v>236</v>
      </c>
    </row>
    <row r="961">
      <c r="T961" s="85" t="s">
        <v>236</v>
      </c>
    </row>
    <row r="962">
      <c r="T962" s="85" t="s">
        <v>236</v>
      </c>
    </row>
    <row r="963">
      <c r="T963" s="85" t="s">
        <v>236</v>
      </c>
    </row>
    <row r="964">
      <c r="T964" s="85" t="s">
        <v>236</v>
      </c>
    </row>
    <row r="965">
      <c r="T965" s="85" t="s">
        <v>236</v>
      </c>
    </row>
    <row r="966">
      <c r="T966" s="85" t="s">
        <v>236</v>
      </c>
    </row>
    <row r="967">
      <c r="T967" s="85" t="s">
        <v>236</v>
      </c>
    </row>
    <row r="968">
      <c r="T968" s="85" t="s">
        <v>236</v>
      </c>
    </row>
    <row r="969">
      <c r="T969" s="85" t="s">
        <v>236</v>
      </c>
    </row>
    <row r="970">
      <c r="T970" s="85" t="s">
        <v>236</v>
      </c>
    </row>
    <row r="971">
      <c r="T971" s="85" t="s">
        <v>236</v>
      </c>
    </row>
    <row r="972">
      <c r="T972" s="85" t="s">
        <v>236</v>
      </c>
    </row>
    <row r="973">
      <c r="T973" s="85" t="s">
        <v>236</v>
      </c>
    </row>
    <row r="974">
      <c r="T974" s="85" t="s">
        <v>236</v>
      </c>
    </row>
    <row r="975">
      <c r="T975" s="85" t="s">
        <v>236</v>
      </c>
    </row>
    <row r="976">
      <c r="T976" s="85" t="s">
        <v>236</v>
      </c>
    </row>
    <row r="977">
      <c r="T977" s="85" t="s">
        <v>236</v>
      </c>
    </row>
    <row r="978">
      <c r="T978" s="85" t="s">
        <v>236</v>
      </c>
    </row>
    <row r="979">
      <c r="T979" s="85" t="s">
        <v>236</v>
      </c>
    </row>
    <row r="980">
      <c r="T980" s="85" t="s">
        <v>236</v>
      </c>
    </row>
    <row r="981">
      <c r="T981" s="85" t="s">
        <v>236</v>
      </c>
    </row>
    <row r="982">
      <c r="T982" s="85" t="s">
        <v>236</v>
      </c>
    </row>
    <row r="983">
      <c r="T983" s="85" t="s">
        <v>236</v>
      </c>
    </row>
    <row r="984">
      <c r="T984" s="85" t="s">
        <v>236</v>
      </c>
    </row>
    <row r="985">
      <c r="T985" s="85" t="s">
        <v>236</v>
      </c>
    </row>
    <row r="986">
      <c r="T986" s="85" t="s">
        <v>236</v>
      </c>
    </row>
    <row r="987">
      <c r="T987" s="85" t="s">
        <v>236</v>
      </c>
    </row>
    <row r="988">
      <c r="T988" s="85" t="s">
        <v>236</v>
      </c>
    </row>
    <row r="989">
      <c r="T989" s="85" t="s">
        <v>236</v>
      </c>
    </row>
    <row r="990">
      <c r="T990" s="85" t="s">
        <v>236</v>
      </c>
    </row>
    <row r="991">
      <c r="T991" s="85" t="s">
        <v>236</v>
      </c>
    </row>
    <row r="992">
      <c r="T992" s="85" t="s">
        <v>236</v>
      </c>
    </row>
    <row r="993">
      <c r="T993" s="85" t="s">
        <v>236</v>
      </c>
    </row>
    <row r="994">
      <c r="T994" s="85" t="s">
        <v>236</v>
      </c>
    </row>
    <row r="995">
      <c r="T995" s="85" t="s">
        <v>236</v>
      </c>
    </row>
    <row r="996">
      <c r="T996" s="85" t="s">
        <v>236</v>
      </c>
    </row>
    <row r="997">
      <c r="T997" s="85" t="s">
        <v>236</v>
      </c>
    </row>
    <row r="998">
      <c r="T998" s="85" t="s">
        <v>236</v>
      </c>
    </row>
    <row r="999">
      <c r="T999" s="85" t="s">
        <v>236</v>
      </c>
    </row>
    <row r="1000">
      <c r="T1000" s="85" t="s">
        <v>236</v>
      </c>
    </row>
  </sheetData>
  <conditionalFormatting sqref="L2:L82">
    <cfRule type="cellIs" dxfId="0" priority="1" stopIfTrue="1" operator="between">
      <formula>6</formula>
      <formula>9</formula>
    </cfRule>
  </conditionalFormatting>
  <conditionalFormatting sqref="L2:L82">
    <cfRule type="cellIs" dxfId="1" priority="2" stopIfTrue="1" operator="between">
      <formula>3</formula>
      <formula>4</formula>
    </cfRule>
  </conditionalFormatting>
  <conditionalFormatting sqref="L2:L82">
    <cfRule type="cellIs" dxfId="2" priority="3" operator="between">
      <formula>1</formula>
      <formula>2</formula>
    </cfRule>
  </conditionalFormatting>
  <conditionalFormatting sqref="L5:L82">
    <cfRule type="cellIs" dxfId="0" priority="4" stopIfTrue="1" operator="between">
      <formula>6</formula>
      <formula>9</formula>
    </cfRule>
  </conditionalFormatting>
  <conditionalFormatting sqref="L5:L82">
    <cfRule type="cellIs" dxfId="1" priority="5" stopIfTrue="1" operator="between">
      <formula>3</formula>
      <formula>4</formula>
    </cfRule>
  </conditionalFormatting>
  <conditionalFormatting sqref="L5:L82">
    <cfRule type="cellIs" dxfId="2" priority="6" operator="between">
      <formula>1</formula>
      <formula>2</formula>
    </cfRule>
  </conditionalFormatting>
  <conditionalFormatting sqref="L3">
    <cfRule type="cellIs" dxfId="0" priority="7" stopIfTrue="1" operator="between">
      <formula>6</formula>
      <formula>9</formula>
    </cfRule>
  </conditionalFormatting>
  <conditionalFormatting sqref="L3">
    <cfRule type="cellIs" dxfId="1" priority="8" stopIfTrue="1" operator="between">
      <formula>3</formula>
      <formula>4</formula>
    </cfRule>
  </conditionalFormatting>
  <conditionalFormatting sqref="L3">
    <cfRule type="cellIs" dxfId="3" priority="9" stopIfTrue="1" operator="between">
      <formula>1</formula>
      <formula>2</formula>
    </cfRule>
  </conditionalFormatting>
  <conditionalFormatting sqref="L4">
    <cfRule type="cellIs" dxfId="0" priority="10" stopIfTrue="1" operator="between">
      <formula>6</formula>
      <formula>9</formula>
    </cfRule>
  </conditionalFormatting>
  <conditionalFormatting sqref="L4">
    <cfRule type="cellIs" dxfId="1" priority="11" stopIfTrue="1" operator="between">
      <formula>3</formula>
      <formula>4</formula>
    </cfRule>
  </conditionalFormatting>
  <conditionalFormatting sqref="L4">
    <cfRule type="cellIs" dxfId="3" priority="12" stopIfTrue="1" operator="between">
      <formula>1</formula>
      <formula>2</formula>
    </cfRule>
  </conditionalFormatting>
  <conditionalFormatting sqref="H2:H74 I2:I82 K2:K82">
    <cfRule type="cellIs" dxfId="4" priority="13" operator="equal">
      <formula>1</formula>
    </cfRule>
  </conditionalFormatting>
  <conditionalFormatting sqref="H2:H74 I2:I82 K2:K82">
    <cfRule type="cellIs" dxfId="5" priority="14" operator="equal">
      <formula>2</formula>
    </cfRule>
  </conditionalFormatting>
  <conditionalFormatting sqref="H2:H74 I2:I82 K2:K82">
    <cfRule type="cellIs" dxfId="6" priority="15" operator="equal">
      <formula>3</formula>
    </cfRule>
  </conditionalFormatting>
  <dataValidations>
    <dataValidation type="custom" allowBlank="1" showDropDown="1" sqref="A2:A82">
      <formula1>OR(NOT(ISERROR(DATEVALUE(A2))), AND(ISNUMBER(A2), LEFT(CELL("format", A2))="D"))</formula1>
    </dataValidation>
    <dataValidation type="list" allowBlank="1" showErrorMessage="1" sqref="R81:R82">
      <formula1>'Transversal Etapas'!B76:Z76</formula1>
    </dataValidation>
    <dataValidation type="list" allowBlank="1" showErrorMessage="1" sqref="D2:E80 Q2:R80 D81:D82 Q81:Q82">
      <formula1>#REF!</formula1>
    </dataValidation>
    <dataValidation type="custom" allowBlank="1" showDropDown="1" sqref="S2:S82">
      <formula1>AND(ISNUMBER(S2),(NOT(OR(NOT(ISERROR(DATEVALUE(S2))), AND(ISNUMBER(S2), LEFT(CELL("format", S2))="D")))))</formula1>
    </dataValidation>
    <dataValidation type="list" allowBlank="1" showErrorMessage="1" sqref="E81:E82">
      <formula1>SubCategoria!B76:Z76</formula1>
    </dataValidation>
    <dataValidation type="list" allowBlank="1" showErrorMessage="1" sqref="G2:G82 J2:J82">
      <formula1>"Bajo,Medio,Alto"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23.75"/>
    <col customWidth="1" min="3" max="3" width="18.38"/>
  </cols>
  <sheetData>
    <row r="1">
      <c r="A1" s="85" t="str">
        <f t="array" ref="A1">#REF!</f>
        <v>#REF!</v>
      </c>
      <c r="B1" s="85" t="str">
        <f>IFERROR(__xludf.DUMMYFUNCTION("BYROW(A1:A1000, LAMBDA(x, TRANSPOSE(UNIQUE(FILTER(Categorias!$B$13:$B$1000, Categorias!$A$13:$A$1000=x)))))"),"#N/A")</f>
        <v>#N/A</v>
      </c>
      <c r="C1" s="85"/>
      <c r="D1" s="85"/>
      <c r="E1" s="85"/>
      <c r="F1" s="85"/>
    </row>
    <row r="2">
      <c r="A2" s="85"/>
      <c r="B2" s="85"/>
      <c r="C2" s="85"/>
      <c r="D2" s="85"/>
      <c r="E2" s="85"/>
      <c r="F2" s="85"/>
    </row>
    <row r="3">
      <c r="A3" s="85"/>
      <c r="B3" s="85"/>
      <c r="C3" s="85"/>
      <c r="D3" s="85"/>
      <c r="E3" s="85"/>
      <c r="F3" s="85"/>
    </row>
    <row r="4">
      <c r="A4" s="85"/>
      <c r="B4" s="85"/>
      <c r="C4" s="85"/>
      <c r="D4" s="85"/>
      <c r="E4" s="85"/>
      <c r="F4" s="85"/>
    </row>
    <row r="5">
      <c r="A5" s="85"/>
      <c r="B5" s="85"/>
      <c r="C5" s="85"/>
      <c r="D5" s="85"/>
      <c r="E5" s="85"/>
      <c r="F5" s="85"/>
    </row>
    <row r="6">
      <c r="A6" s="85"/>
      <c r="B6" s="85"/>
      <c r="C6" s="85"/>
      <c r="D6" s="85"/>
      <c r="E6" s="85"/>
      <c r="F6" s="85"/>
    </row>
    <row r="7">
      <c r="A7" s="85"/>
      <c r="B7" s="85"/>
      <c r="C7" s="85"/>
      <c r="D7" s="85"/>
      <c r="E7" s="85"/>
      <c r="F7" s="85"/>
    </row>
    <row r="8">
      <c r="A8" s="85"/>
      <c r="B8" s="85"/>
      <c r="C8" s="85"/>
      <c r="D8" s="85"/>
      <c r="E8" s="85"/>
      <c r="F8" s="85"/>
    </row>
    <row r="9">
      <c r="A9" s="85"/>
      <c r="B9" s="85"/>
      <c r="C9" s="85"/>
      <c r="D9" s="85"/>
      <c r="E9" s="85"/>
      <c r="F9" s="85"/>
    </row>
    <row r="10">
      <c r="A10" s="85"/>
      <c r="B10" s="85"/>
      <c r="C10" s="85"/>
      <c r="D10" s="85"/>
      <c r="E10" s="85"/>
      <c r="F10" s="85"/>
    </row>
    <row r="11">
      <c r="A11" s="85"/>
      <c r="B11" s="85"/>
      <c r="C11" s="85"/>
      <c r="D11" s="85"/>
      <c r="E11" s="85"/>
      <c r="F11" s="85"/>
    </row>
    <row r="12">
      <c r="A12" s="85"/>
      <c r="B12" s="85"/>
      <c r="C12" s="85"/>
      <c r="D12" s="85"/>
      <c r="E12" s="85"/>
      <c r="F12" s="85"/>
    </row>
    <row r="13">
      <c r="A13" s="85"/>
      <c r="B13" s="85"/>
      <c r="C13" s="85"/>
      <c r="D13" s="85"/>
      <c r="E13" s="85"/>
      <c r="F13" s="85"/>
    </row>
    <row r="14">
      <c r="A14" s="85"/>
      <c r="B14" s="85"/>
      <c r="C14" s="85"/>
      <c r="D14" s="85"/>
      <c r="E14" s="85"/>
      <c r="F14" s="85"/>
    </row>
    <row r="15">
      <c r="A15" s="85"/>
      <c r="B15" s="85"/>
      <c r="C15" s="85"/>
      <c r="D15" s="85"/>
      <c r="E15" s="85"/>
      <c r="F15" s="85"/>
    </row>
    <row r="16">
      <c r="A16" s="85"/>
      <c r="B16" s="85"/>
      <c r="C16" s="85"/>
      <c r="D16" s="85"/>
      <c r="E16" s="85"/>
      <c r="F16" s="85"/>
    </row>
    <row r="17">
      <c r="A17" s="85"/>
      <c r="B17" s="85"/>
      <c r="C17" s="85"/>
      <c r="D17" s="85"/>
      <c r="E17" s="85"/>
      <c r="F17" s="85"/>
    </row>
    <row r="18">
      <c r="A18" s="85"/>
      <c r="B18" s="85"/>
      <c r="C18" s="85"/>
      <c r="D18" s="85"/>
      <c r="E18" s="85"/>
      <c r="F18" s="85"/>
    </row>
    <row r="19">
      <c r="A19" s="85"/>
      <c r="B19" s="85"/>
      <c r="C19" s="85"/>
      <c r="D19" s="85"/>
      <c r="E19" s="85"/>
      <c r="F19" s="85"/>
    </row>
    <row r="20">
      <c r="A20" s="85"/>
      <c r="B20" s="85"/>
      <c r="C20" s="85"/>
      <c r="D20" s="85"/>
      <c r="E20" s="85"/>
      <c r="F20" s="85"/>
    </row>
    <row r="21">
      <c r="A21" s="85"/>
      <c r="B21" s="85"/>
      <c r="C21" s="85"/>
      <c r="D21" s="85"/>
      <c r="E21" s="85"/>
      <c r="F21" s="85"/>
    </row>
    <row r="22">
      <c r="A22" s="85"/>
      <c r="B22" s="85"/>
      <c r="C22" s="85"/>
      <c r="D22" s="85"/>
      <c r="E22" s="85"/>
      <c r="F22" s="85"/>
    </row>
    <row r="23">
      <c r="A23" s="85"/>
      <c r="B23" s="85"/>
      <c r="C23" s="85"/>
      <c r="D23" s="85"/>
      <c r="E23" s="85"/>
      <c r="F23" s="85"/>
    </row>
    <row r="24">
      <c r="A24" s="85"/>
      <c r="B24" s="85"/>
      <c r="C24" s="85"/>
      <c r="D24" s="85"/>
      <c r="E24" s="85"/>
      <c r="F24" s="85"/>
    </row>
    <row r="25">
      <c r="A25" s="85"/>
      <c r="B25" s="85"/>
      <c r="C25" s="85"/>
      <c r="D25" s="85"/>
      <c r="E25" s="85"/>
      <c r="F25" s="85"/>
    </row>
    <row r="26">
      <c r="A26" s="85"/>
      <c r="B26" s="85"/>
      <c r="C26" s="85"/>
      <c r="D26" s="85"/>
      <c r="E26" s="85"/>
      <c r="F26" s="85"/>
    </row>
    <row r="27">
      <c r="A27" s="85"/>
      <c r="B27" s="85"/>
      <c r="C27" s="85"/>
      <c r="D27" s="85"/>
      <c r="E27" s="85"/>
      <c r="F27" s="85"/>
    </row>
    <row r="28">
      <c r="A28" s="85"/>
      <c r="B28" s="85"/>
      <c r="C28" s="85"/>
      <c r="D28" s="85"/>
      <c r="E28" s="85"/>
      <c r="F28" s="85"/>
    </row>
    <row r="29">
      <c r="A29" s="85"/>
      <c r="B29" s="85"/>
      <c r="C29" s="85"/>
      <c r="D29" s="85"/>
      <c r="E29" s="85"/>
      <c r="F29" s="85"/>
    </row>
    <row r="30">
      <c r="A30" s="85"/>
      <c r="B30" s="85"/>
      <c r="C30" s="85"/>
      <c r="D30" s="85"/>
      <c r="E30" s="85"/>
      <c r="F30" s="85"/>
    </row>
    <row r="31">
      <c r="A31" s="85"/>
      <c r="B31" s="85"/>
      <c r="C31" s="85"/>
      <c r="D31" s="85"/>
      <c r="E31" s="85"/>
      <c r="F31" s="85"/>
    </row>
    <row r="32">
      <c r="A32" s="85"/>
      <c r="B32" s="85"/>
      <c r="C32" s="85"/>
      <c r="D32" s="85"/>
      <c r="E32" s="85"/>
      <c r="F32" s="85"/>
    </row>
    <row r="33">
      <c r="A33" s="85"/>
      <c r="B33" s="85"/>
      <c r="C33" s="85"/>
      <c r="D33" s="85"/>
      <c r="E33" s="85"/>
      <c r="F33" s="85"/>
    </row>
    <row r="34">
      <c r="A34" s="85"/>
      <c r="B34" s="85"/>
      <c r="C34" s="85"/>
      <c r="D34" s="85"/>
      <c r="E34" s="85"/>
      <c r="F34" s="85"/>
    </row>
    <row r="35">
      <c r="A35" s="85"/>
      <c r="B35" s="85"/>
      <c r="C35" s="85"/>
      <c r="D35" s="85"/>
      <c r="E35" s="85"/>
      <c r="F35" s="85"/>
    </row>
    <row r="36">
      <c r="A36" s="85"/>
      <c r="B36" s="85"/>
      <c r="C36" s="85"/>
      <c r="D36" s="85"/>
      <c r="E36" s="85"/>
      <c r="F36" s="85"/>
    </row>
    <row r="37">
      <c r="A37" s="85"/>
      <c r="B37" s="85"/>
      <c r="C37" s="85"/>
      <c r="D37" s="85"/>
      <c r="E37" s="85"/>
      <c r="F37" s="85"/>
    </row>
    <row r="38">
      <c r="A38" s="85"/>
      <c r="B38" s="85"/>
      <c r="C38" s="85"/>
      <c r="D38" s="85"/>
      <c r="E38" s="85"/>
      <c r="F38" s="85"/>
    </row>
    <row r="39">
      <c r="A39" s="85"/>
      <c r="B39" s="85"/>
      <c r="C39" s="85"/>
      <c r="D39" s="85"/>
      <c r="E39" s="85"/>
      <c r="F39" s="85"/>
    </row>
    <row r="40">
      <c r="A40" s="85"/>
      <c r="B40" s="85"/>
      <c r="C40" s="85"/>
      <c r="D40" s="85"/>
      <c r="E40" s="85"/>
      <c r="F40" s="85"/>
    </row>
    <row r="41">
      <c r="A41" s="85"/>
      <c r="B41" s="85"/>
      <c r="C41" s="85"/>
      <c r="D41" s="85"/>
      <c r="E41" s="85"/>
      <c r="F41" s="85"/>
    </row>
    <row r="42">
      <c r="A42" s="85"/>
      <c r="B42" s="85"/>
      <c r="C42" s="85"/>
      <c r="D42" s="85"/>
      <c r="E42" s="85"/>
      <c r="F42" s="85"/>
    </row>
    <row r="43">
      <c r="A43" s="85"/>
      <c r="B43" s="85"/>
      <c r="C43" s="85"/>
      <c r="D43" s="85"/>
      <c r="E43" s="85"/>
      <c r="F43" s="85"/>
    </row>
    <row r="44">
      <c r="A44" s="85"/>
      <c r="B44" s="85"/>
      <c r="C44" s="85"/>
      <c r="D44" s="85"/>
      <c r="E44" s="85"/>
      <c r="F44" s="85"/>
    </row>
    <row r="45">
      <c r="A45" s="85"/>
      <c r="B45" s="85"/>
      <c r="C45" s="85"/>
      <c r="D45" s="85"/>
      <c r="E45" s="85"/>
      <c r="F45" s="85"/>
    </row>
    <row r="46">
      <c r="A46" s="85"/>
      <c r="B46" s="85"/>
      <c r="C46" s="85"/>
      <c r="D46" s="85"/>
      <c r="E46" s="85"/>
      <c r="F46" s="85"/>
    </row>
    <row r="47">
      <c r="A47" s="85"/>
      <c r="B47" s="85"/>
      <c r="C47" s="85"/>
      <c r="D47" s="85"/>
      <c r="E47" s="85"/>
      <c r="F47" s="85"/>
    </row>
    <row r="48">
      <c r="A48" s="85"/>
      <c r="B48" s="85"/>
      <c r="C48" s="85"/>
      <c r="D48" s="85"/>
      <c r="E48" s="85"/>
      <c r="F48" s="85"/>
    </row>
    <row r="49">
      <c r="A49" s="85"/>
      <c r="B49" s="85"/>
      <c r="C49" s="85"/>
      <c r="D49" s="85"/>
      <c r="E49" s="85"/>
      <c r="F49" s="85"/>
    </row>
    <row r="50">
      <c r="A50" s="85"/>
      <c r="B50" s="85"/>
      <c r="C50" s="85"/>
      <c r="D50" s="85"/>
      <c r="E50" s="85"/>
      <c r="F50" s="85"/>
    </row>
    <row r="51">
      <c r="A51" s="85"/>
      <c r="B51" s="85"/>
      <c r="C51" s="85"/>
      <c r="D51" s="85"/>
      <c r="E51" s="85"/>
      <c r="F51" s="85"/>
    </row>
    <row r="52">
      <c r="A52" s="85"/>
      <c r="B52" s="85"/>
      <c r="C52" s="85"/>
      <c r="D52" s="85"/>
      <c r="E52" s="85"/>
      <c r="F52" s="85"/>
    </row>
    <row r="53">
      <c r="A53" s="85"/>
      <c r="B53" s="85"/>
      <c r="C53" s="85"/>
      <c r="D53" s="85"/>
      <c r="E53" s="85"/>
      <c r="F53" s="85"/>
    </row>
    <row r="54">
      <c r="A54" s="85"/>
      <c r="B54" s="85"/>
      <c r="C54" s="85"/>
      <c r="D54" s="85"/>
      <c r="E54" s="85"/>
      <c r="F54" s="85"/>
    </row>
    <row r="55">
      <c r="A55" s="85"/>
      <c r="B55" s="85"/>
      <c r="C55" s="85"/>
      <c r="D55" s="85"/>
      <c r="E55" s="85"/>
      <c r="F55" s="85"/>
    </row>
    <row r="56">
      <c r="A56" s="85"/>
      <c r="B56" s="85"/>
      <c r="C56" s="85"/>
      <c r="D56" s="85"/>
      <c r="E56" s="85"/>
      <c r="F56" s="85"/>
    </row>
    <row r="57">
      <c r="A57" s="85"/>
      <c r="B57" s="85"/>
      <c r="C57" s="85"/>
      <c r="D57" s="85"/>
      <c r="E57" s="85"/>
      <c r="F57" s="85"/>
    </row>
    <row r="58">
      <c r="A58" s="85"/>
      <c r="B58" s="85"/>
      <c r="C58" s="85"/>
      <c r="D58" s="85"/>
      <c r="E58" s="85"/>
      <c r="F58" s="85"/>
    </row>
    <row r="59">
      <c r="A59" s="85"/>
      <c r="B59" s="85"/>
      <c r="C59" s="85"/>
      <c r="D59" s="85"/>
      <c r="E59" s="85"/>
      <c r="F59" s="85"/>
    </row>
    <row r="60">
      <c r="A60" s="85"/>
      <c r="B60" s="85"/>
      <c r="C60" s="85"/>
      <c r="D60" s="85"/>
      <c r="E60" s="85"/>
      <c r="F60" s="85"/>
    </row>
    <row r="61">
      <c r="A61" s="85"/>
      <c r="B61" s="85"/>
      <c r="C61" s="85"/>
      <c r="D61" s="85"/>
      <c r="E61" s="85"/>
      <c r="F61" s="85"/>
    </row>
    <row r="62">
      <c r="A62" s="85"/>
      <c r="B62" s="85"/>
      <c r="C62" s="85"/>
      <c r="D62" s="85"/>
      <c r="E62" s="85"/>
      <c r="F62" s="85"/>
    </row>
    <row r="63">
      <c r="A63" s="85"/>
      <c r="B63" s="85"/>
      <c r="C63" s="85"/>
      <c r="D63" s="85"/>
      <c r="E63" s="85"/>
      <c r="F63" s="85"/>
    </row>
    <row r="64">
      <c r="A64" s="85"/>
      <c r="B64" s="85"/>
      <c r="C64" s="85"/>
      <c r="D64" s="85"/>
      <c r="E64" s="85"/>
      <c r="F64" s="85"/>
    </row>
    <row r="65">
      <c r="A65" s="85"/>
      <c r="B65" s="85"/>
      <c r="C65" s="85"/>
      <c r="D65" s="85"/>
      <c r="E65" s="85"/>
      <c r="F65" s="85"/>
    </row>
    <row r="66">
      <c r="A66" s="85"/>
      <c r="B66" s="85"/>
      <c r="C66" s="85"/>
      <c r="D66" s="85"/>
      <c r="E66" s="85"/>
      <c r="F66" s="85"/>
    </row>
    <row r="67">
      <c r="A67" s="85"/>
      <c r="B67" s="85"/>
      <c r="C67" s="85"/>
      <c r="D67" s="85"/>
      <c r="E67" s="85"/>
      <c r="F67" s="85"/>
    </row>
    <row r="68">
      <c r="A68" s="85"/>
      <c r="B68" s="85"/>
      <c r="C68" s="85"/>
      <c r="D68" s="85"/>
      <c r="E68" s="85"/>
      <c r="F68" s="85"/>
    </row>
    <row r="69">
      <c r="A69" s="85"/>
      <c r="B69" s="85"/>
      <c r="C69" s="85"/>
      <c r="D69" s="85"/>
      <c r="E69" s="85"/>
      <c r="F69" s="85"/>
    </row>
    <row r="70">
      <c r="A70" s="85"/>
      <c r="B70" s="85"/>
      <c r="C70" s="85"/>
      <c r="D70" s="85"/>
      <c r="E70" s="85"/>
      <c r="F70" s="85"/>
    </row>
    <row r="71">
      <c r="A71" s="85"/>
      <c r="B71" s="85"/>
      <c r="C71" s="85"/>
      <c r="D71" s="85"/>
      <c r="E71" s="85"/>
      <c r="F71" s="85"/>
    </row>
    <row r="72">
      <c r="A72" s="85"/>
      <c r="B72" s="85"/>
      <c r="C72" s="85"/>
      <c r="D72" s="85"/>
      <c r="E72" s="85"/>
      <c r="F72" s="85"/>
    </row>
    <row r="73">
      <c r="A73" s="85"/>
      <c r="B73" s="85"/>
      <c r="C73" s="85"/>
      <c r="D73" s="85"/>
      <c r="E73" s="85"/>
      <c r="F73" s="85"/>
    </row>
    <row r="74">
      <c r="A74" s="85"/>
      <c r="B74" s="85"/>
      <c r="C74" s="85"/>
      <c r="D74" s="85"/>
      <c r="E74" s="85"/>
      <c r="F74" s="85"/>
    </row>
    <row r="75">
      <c r="A75" s="85"/>
      <c r="B75" s="85"/>
      <c r="C75" s="85"/>
      <c r="D75" s="85"/>
      <c r="E75" s="85"/>
      <c r="F75" s="85"/>
    </row>
    <row r="76">
      <c r="A76" s="85"/>
      <c r="B76" s="85"/>
      <c r="C76" s="85"/>
      <c r="D76" s="85"/>
      <c r="E76" s="85"/>
      <c r="F76" s="85"/>
    </row>
    <row r="77">
      <c r="A77" s="85"/>
      <c r="B77" s="85"/>
      <c r="C77" s="85"/>
      <c r="D77" s="85"/>
      <c r="E77" s="85"/>
      <c r="F77" s="85"/>
    </row>
    <row r="78">
      <c r="A78" s="85"/>
      <c r="B78" s="85"/>
      <c r="C78" s="85"/>
      <c r="D78" s="85"/>
      <c r="E78" s="85"/>
      <c r="F78" s="85"/>
    </row>
    <row r="79">
      <c r="A79" s="85"/>
      <c r="B79" s="85"/>
      <c r="C79" s="85"/>
      <c r="D79" s="85"/>
      <c r="E79" s="85"/>
      <c r="F79" s="85"/>
    </row>
    <row r="80">
      <c r="A80" s="85"/>
      <c r="B80" s="85"/>
      <c r="C80" s="85"/>
      <c r="D80" s="85"/>
      <c r="E80" s="85"/>
      <c r="F80" s="85"/>
    </row>
    <row r="81">
      <c r="A81" s="85"/>
      <c r="B81" s="85"/>
      <c r="C81" s="85"/>
      <c r="D81" s="85"/>
      <c r="E81" s="85"/>
      <c r="F81" s="85"/>
    </row>
    <row r="82">
      <c r="A82" s="85"/>
      <c r="B82" s="85"/>
      <c r="C82" s="85"/>
      <c r="D82" s="85"/>
      <c r="E82" s="85"/>
      <c r="F82" s="85"/>
    </row>
    <row r="83">
      <c r="A83" s="85"/>
      <c r="B83" s="85"/>
      <c r="C83" s="85"/>
      <c r="D83" s="85"/>
      <c r="E83" s="85"/>
      <c r="F83" s="85"/>
    </row>
    <row r="84">
      <c r="A84" s="85"/>
      <c r="B84" s="85"/>
      <c r="C84" s="85"/>
      <c r="D84" s="85"/>
      <c r="E84" s="85"/>
      <c r="F84" s="85"/>
    </row>
    <row r="85">
      <c r="A85" s="85"/>
      <c r="B85" s="85"/>
      <c r="C85" s="85"/>
      <c r="D85" s="85"/>
      <c r="E85" s="85"/>
      <c r="F85" s="85"/>
    </row>
    <row r="86">
      <c r="A86" s="85"/>
      <c r="B86" s="85"/>
      <c r="C86" s="85"/>
      <c r="D86" s="85"/>
      <c r="E86" s="85"/>
      <c r="F86" s="85"/>
    </row>
    <row r="87">
      <c r="A87" s="85"/>
      <c r="B87" s="85"/>
      <c r="C87" s="85"/>
      <c r="D87" s="85"/>
      <c r="E87" s="85"/>
      <c r="F87" s="85"/>
    </row>
    <row r="88">
      <c r="A88" s="85"/>
      <c r="B88" s="85"/>
      <c r="C88" s="85"/>
      <c r="D88" s="85"/>
      <c r="E88" s="85"/>
      <c r="F88" s="85"/>
    </row>
    <row r="89">
      <c r="A89" s="85"/>
      <c r="B89" s="85"/>
      <c r="C89" s="85"/>
      <c r="D89" s="85"/>
      <c r="E89" s="85"/>
      <c r="F89" s="85"/>
    </row>
    <row r="90">
      <c r="A90" s="85"/>
      <c r="B90" s="85"/>
      <c r="C90" s="85"/>
      <c r="D90" s="85"/>
      <c r="E90" s="85"/>
      <c r="F90" s="85"/>
    </row>
    <row r="91">
      <c r="A91" s="85"/>
      <c r="B91" s="85"/>
      <c r="C91" s="85"/>
      <c r="D91" s="85"/>
      <c r="E91" s="85"/>
      <c r="F91" s="85"/>
    </row>
    <row r="92">
      <c r="A92" s="85"/>
      <c r="B92" s="85"/>
      <c r="C92" s="85"/>
      <c r="D92" s="85"/>
      <c r="E92" s="85"/>
      <c r="F92" s="85"/>
    </row>
    <row r="93">
      <c r="A93" s="85"/>
      <c r="B93" s="85"/>
      <c r="C93" s="85"/>
      <c r="D93" s="85"/>
      <c r="E93" s="85"/>
      <c r="F93" s="85"/>
    </row>
    <row r="94">
      <c r="A94" s="85"/>
      <c r="B94" s="85"/>
      <c r="C94" s="85"/>
      <c r="D94" s="85"/>
      <c r="E94" s="85"/>
      <c r="F94" s="85"/>
    </row>
    <row r="95">
      <c r="A95" s="85"/>
      <c r="B95" s="85"/>
      <c r="C95" s="85"/>
      <c r="D95" s="85"/>
      <c r="E95" s="85"/>
      <c r="F95" s="85"/>
    </row>
    <row r="96">
      <c r="A96" s="85"/>
      <c r="B96" s="85"/>
      <c r="C96" s="85"/>
      <c r="D96" s="85"/>
      <c r="E96" s="85"/>
      <c r="F96" s="85"/>
    </row>
    <row r="97">
      <c r="A97" s="85"/>
      <c r="B97" s="85"/>
      <c r="C97" s="85"/>
      <c r="D97" s="85"/>
      <c r="E97" s="85"/>
      <c r="F97" s="85"/>
    </row>
    <row r="98">
      <c r="A98" s="85"/>
      <c r="B98" s="85"/>
      <c r="C98" s="85"/>
      <c r="D98" s="85"/>
      <c r="E98" s="85"/>
      <c r="F98" s="85"/>
    </row>
    <row r="99">
      <c r="A99" s="85"/>
      <c r="B99" s="85"/>
      <c r="C99" s="85"/>
      <c r="D99" s="85"/>
      <c r="E99" s="85"/>
      <c r="F99" s="85"/>
    </row>
    <row r="100">
      <c r="A100" s="85"/>
      <c r="B100" s="85"/>
      <c r="C100" s="85"/>
      <c r="D100" s="85"/>
      <c r="E100" s="85"/>
      <c r="F100" s="85"/>
    </row>
    <row r="101">
      <c r="A101" s="85"/>
      <c r="B101" s="85"/>
      <c r="C101" s="85"/>
      <c r="D101" s="85"/>
      <c r="E101" s="85"/>
      <c r="F101" s="85"/>
    </row>
    <row r="102">
      <c r="A102" s="85"/>
      <c r="B102" s="85"/>
      <c r="C102" s="85"/>
      <c r="D102" s="85"/>
      <c r="E102" s="85"/>
      <c r="F102" s="85"/>
    </row>
    <row r="103">
      <c r="A103" s="85"/>
      <c r="B103" s="85"/>
      <c r="C103" s="85"/>
      <c r="D103" s="85"/>
      <c r="E103" s="85"/>
      <c r="F103" s="85"/>
    </row>
    <row r="104">
      <c r="A104" s="85"/>
      <c r="B104" s="85"/>
      <c r="C104" s="85"/>
      <c r="D104" s="85"/>
      <c r="E104" s="85"/>
      <c r="F104" s="85"/>
    </row>
    <row r="105">
      <c r="A105" s="85"/>
      <c r="B105" s="85"/>
      <c r="C105" s="85"/>
      <c r="D105" s="85"/>
      <c r="E105" s="85"/>
      <c r="F105" s="85"/>
    </row>
    <row r="106">
      <c r="A106" s="85"/>
      <c r="B106" s="85"/>
      <c r="C106" s="85"/>
      <c r="D106" s="85"/>
      <c r="E106" s="85"/>
      <c r="F106" s="85"/>
    </row>
    <row r="107">
      <c r="A107" s="85"/>
      <c r="B107" s="85"/>
      <c r="C107" s="85"/>
      <c r="D107" s="85"/>
      <c r="E107" s="85"/>
      <c r="F107" s="85"/>
    </row>
    <row r="108">
      <c r="A108" s="85"/>
      <c r="B108" s="85"/>
      <c r="C108" s="85"/>
      <c r="D108" s="85"/>
      <c r="E108" s="85"/>
      <c r="F108" s="85"/>
    </row>
    <row r="109">
      <c r="A109" s="85"/>
      <c r="B109" s="85"/>
      <c r="C109" s="85"/>
      <c r="D109" s="85"/>
      <c r="E109" s="85"/>
      <c r="F109" s="85"/>
    </row>
    <row r="110">
      <c r="A110" s="85"/>
      <c r="B110" s="85"/>
      <c r="C110" s="85"/>
      <c r="D110" s="85"/>
      <c r="E110" s="85"/>
      <c r="F110" s="85"/>
    </row>
    <row r="111">
      <c r="A111" s="85"/>
      <c r="B111" s="85"/>
      <c r="C111" s="85"/>
      <c r="D111" s="85"/>
      <c r="E111" s="85"/>
      <c r="F111" s="85"/>
    </row>
    <row r="112">
      <c r="A112" s="85"/>
      <c r="B112" s="85"/>
      <c r="C112" s="85"/>
      <c r="D112" s="85"/>
      <c r="E112" s="85"/>
      <c r="F112" s="85"/>
    </row>
    <row r="113">
      <c r="A113" s="85"/>
      <c r="B113" s="85"/>
      <c r="C113" s="85"/>
      <c r="D113" s="85"/>
      <c r="E113" s="85"/>
      <c r="F113" s="85"/>
    </row>
    <row r="114">
      <c r="A114" s="85"/>
      <c r="B114" s="85"/>
      <c r="C114" s="85"/>
      <c r="D114" s="85"/>
      <c r="E114" s="85"/>
      <c r="F114" s="85"/>
    </row>
    <row r="115">
      <c r="A115" s="85"/>
      <c r="B115" s="85"/>
      <c r="C115" s="85"/>
      <c r="D115" s="85"/>
      <c r="E115" s="85"/>
      <c r="F115" s="85"/>
    </row>
    <row r="116">
      <c r="A116" s="85"/>
      <c r="B116" s="85"/>
      <c r="C116" s="85"/>
      <c r="D116" s="85"/>
      <c r="E116" s="85"/>
      <c r="F116" s="85"/>
    </row>
    <row r="117">
      <c r="A117" s="85"/>
      <c r="B117" s="85"/>
      <c r="C117" s="85"/>
      <c r="D117" s="85"/>
      <c r="E117" s="85"/>
      <c r="F117" s="85"/>
    </row>
    <row r="118">
      <c r="A118" s="85"/>
      <c r="B118" s="85"/>
      <c r="C118" s="85"/>
      <c r="D118" s="85"/>
      <c r="E118" s="85"/>
      <c r="F118" s="85"/>
    </row>
    <row r="119">
      <c r="A119" s="85"/>
      <c r="B119" s="85"/>
      <c r="C119" s="85"/>
      <c r="D119" s="85"/>
      <c r="E119" s="85"/>
      <c r="F119" s="85"/>
    </row>
    <row r="120">
      <c r="A120" s="85"/>
      <c r="B120" s="85"/>
      <c r="C120" s="85"/>
      <c r="D120" s="85"/>
      <c r="E120" s="85"/>
      <c r="F120" s="85"/>
    </row>
    <row r="121">
      <c r="A121" s="85"/>
      <c r="B121" s="85"/>
      <c r="C121" s="85"/>
      <c r="D121" s="85"/>
      <c r="E121" s="85"/>
      <c r="F121" s="85"/>
    </row>
    <row r="122">
      <c r="A122" s="85"/>
      <c r="B122" s="85"/>
      <c r="C122" s="85"/>
      <c r="D122" s="85"/>
      <c r="E122" s="85"/>
      <c r="F122" s="85"/>
    </row>
    <row r="123">
      <c r="A123" s="85"/>
      <c r="B123" s="85"/>
      <c r="C123" s="85"/>
      <c r="D123" s="85"/>
      <c r="E123" s="85"/>
      <c r="F123" s="85"/>
    </row>
    <row r="124">
      <c r="A124" s="85"/>
      <c r="B124" s="85"/>
      <c r="C124" s="85"/>
      <c r="D124" s="85"/>
      <c r="E124" s="85"/>
      <c r="F124" s="85"/>
    </row>
    <row r="125">
      <c r="A125" s="85"/>
      <c r="B125" s="85"/>
      <c r="C125" s="85"/>
      <c r="D125" s="85"/>
      <c r="E125" s="85"/>
      <c r="F125" s="85"/>
    </row>
    <row r="126">
      <c r="A126" s="85"/>
      <c r="B126" s="85"/>
      <c r="C126" s="85"/>
      <c r="D126" s="85"/>
      <c r="E126" s="85"/>
      <c r="F126" s="85"/>
    </row>
    <row r="127">
      <c r="A127" s="85"/>
      <c r="B127" s="85"/>
      <c r="C127" s="85"/>
      <c r="D127" s="85"/>
      <c r="E127" s="85"/>
      <c r="F127" s="85"/>
    </row>
    <row r="128">
      <c r="A128" s="85"/>
      <c r="B128" s="85"/>
      <c r="C128" s="85"/>
      <c r="D128" s="85"/>
      <c r="E128" s="85"/>
      <c r="F128" s="85"/>
    </row>
    <row r="129">
      <c r="A129" s="85"/>
      <c r="B129" s="85"/>
      <c r="C129" s="85"/>
      <c r="D129" s="85"/>
      <c r="E129" s="85"/>
      <c r="F129" s="85"/>
    </row>
    <row r="130">
      <c r="A130" s="85"/>
      <c r="B130" s="85"/>
      <c r="C130" s="85"/>
      <c r="D130" s="85"/>
      <c r="E130" s="85"/>
      <c r="F130" s="85"/>
    </row>
    <row r="131">
      <c r="A131" s="85"/>
      <c r="B131" s="85"/>
      <c r="C131" s="85"/>
      <c r="D131" s="85"/>
      <c r="E131" s="85"/>
      <c r="F131" s="85"/>
    </row>
    <row r="132">
      <c r="A132" s="85"/>
      <c r="B132" s="85"/>
      <c r="C132" s="85"/>
      <c r="D132" s="85"/>
      <c r="E132" s="85"/>
      <c r="F132" s="85"/>
    </row>
    <row r="133">
      <c r="A133" s="85"/>
      <c r="B133" s="85"/>
      <c r="C133" s="85"/>
      <c r="D133" s="85"/>
      <c r="E133" s="85"/>
      <c r="F133" s="85"/>
    </row>
    <row r="134">
      <c r="A134" s="85"/>
      <c r="B134" s="85"/>
      <c r="C134" s="85"/>
      <c r="D134" s="85"/>
      <c r="E134" s="85"/>
      <c r="F134" s="85"/>
    </row>
    <row r="135">
      <c r="A135" s="85"/>
      <c r="B135" s="85"/>
      <c r="C135" s="85"/>
      <c r="D135" s="85"/>
      <c r="E135" s="85"/>
      <c r="F135" s="85"/>
    </row>
    <row r="136">
      <c r="A136" s="85"/>
      <c r="B136" s="85"/>
      <c r="C136" s="85"/>
      <c r="D136" s="85"/>
      <c r="E136" s="85"/>
      <c r="F136" s="85"/>
    </row>
    <row r="137">
      <c r="A137" s="85"/>
      <c r="B137" s="85"/>
      <c r="C137" s="85"/>
      <c r="D137" s="85"/>
      <c r="E137" s="85"/>
      <c r="F137" s="85"/>
    </row>
    <row r="138">
      <c r="A138" s="85"/>
      <c r="B138" s="85"/>
      <c r="C138" s="85"/>
      <c r="D138" s="85"/>
      <c r="E138" s="85"/>
      <c r="F138" s="85"/>
    </row>
    <row r="139">
      <c r="A139" s="85"/>
      <c r="B139" s="85"/>
      <c r="C139" s="85"/>
      <c r="D139" s="85"/>
      <c r="E139" s="85"/>
      <c r="F139" s="85"/>
    </row>
    <row r="140">
      <c r="A140" s="85"/>
      <c r="B140" s="85"/>
      <c r="C140" s="85"/>
      <c r="D140" s="85"/>
      <c r="E140" s="85"/>
      <c r="F140" s="85"/>
    </row>
    <row r="141">
      <c r="A141" s="85"/>
      <c r="B141" s="85"/>
      <c r="C141" s="85"/>
      <c r="D141" s="85"/>
      <c r="E141" s="85"/>
      <c r="F141" s="85"/>
    </row>
    <row r="142">
      <c r="A142" s="85"/>
      <c r="B142" s="85"/>
      <c r="C142" s="85"/>
      <c r="D142" s="85"/>
      <c r="E142" s="85"/>
      <c r="F142" s="85"/>
    </row>
    <row r="143">
      <c r="A143" s="85"/>
      <c r="B143" s="85"/>
      <c r="C143" s="85"/>
      <c r="D143" s="85"/>
      <c r="E143" s="85"/>
      <c r="F143" s="85"/>
    </row>
    <row r="144">
      <c r="A144" s="85"/>
      <c r="B144" s="85"/>
      <c r="C144" s="85"/>
      <c r="D144" s="85"/>
      <c r="E144" s="85"/>
      <c r="F144" s="85"/>
    </row>
    <row r="145">
      <c r="A145" s="85"/>
      <c r="B145" s="85"/>
      <c r="C145" s="85"/>
      <c r="D145" s="85"/>
      <c r="E145" s="85"/>
      <c r="F145" s="85"/>
    </row>
    <row r="146">
      <c r="A146" s="85"/>
      <c r="B146" s="85"/>
      <c r="C146" s="85"/>
      <c r="D146" s="85"/>
      <c r="E146" s="85"/>
      <c r="F146" s="85"/>
    </row>
    <row r="147">
      <c r="A147" s="85"/>
      <c r="B147" s="85"/>
      <c r="C147" s="85"/>
      <c r="D147" s="85"/>
      <c r="E147" s="85"/>
      <c r="F147" s="85"/>
    </row>
    <row r="148">
      <c r="A148" s="85"/>
      <c r="B148" s="85"/>
      <c r="C148" s="85"/>
      <c r="D148" s="85"/>
      <c r="E148" s="85"/>
      <c r="F148" s="85"/>
    </row>
    <row r="149">
      <c r="A149" s="85"/>
      <c r="B149" s="85"/>
      <c r="C149" s="85"/>
      <c r="D149" s="85"/>
      <c r="E149" s="85"/>
      <c r="F149" s="85"/>
    </row>
    <row r="150">
      <c r="A150" s="85"/>
      <c r="B150" s="85"/>
      <c r="C150" s="85"/>
      <c r="D150" s="85"/>
      <c r="E150" s="85"/>
      <c r="F150" s="85"/>
    </row>
    <row r="151">
      <c r="A151" s="85"/>
      <c r="B151" s="85"/>
      <c r="C151" s="85"/>
      <c r="D151" s="85"/>
      <c r="E151" s="85"/>
      <c r="F151" s="85"/>
    </row>
    <row r="152">
      <c r="A152" s="85"/>
      <c r="B152" s="85"/>
      <c r="C152" s="85"/>
      <c r="D152" s="85"/>
      <c r="E152" s="85"/>
      <c r="F152" s="85"/>
    </row>
    <row r="153">
      <c r="A153" s="85"/>
      <c r="B153" s="85"/>
      <c r="C153" s="85"/>
      <c r="D153" s="85"/>
      <c r="E153" s="85"/>
      <c r="F153" s="85"/>
    </row>
    <row r="154">
      <c r="A154" s="85"/>
      <c r="B154" s="85"/>
      <c r="C154" s="85"/>
      <c r="D154" s="85"/>
      <c r="E154" s="85"/>
      <c r="F154" s="85"/>
    </row>
    <row r="155">
      <c r="A155" s="85"/>
      <c r="B155" s="85"/>
      <c r="C155" s="85"/>
      <c r="D155" s="85"/>
      <c r="E155" s="85"/>
      <c r="F155" s="85"/>
    </row>
    <row r="156">
      <c r="A156" s="85"/>
      <c r="B156" s="85"/>
      <c r="C156" s="85"/>
      <c r="D156" s="85"/>
      <c r="E156" s="85"/>
      <c r="F156" s="85"/>
    </row>
    <row r="157">
      <c r="A157" s="85"/>
      <c r="B157" s="85"/>
      <c r="C157" s="85"/>
      <c r="D157" s="85"/>
      <c r="E157" s="85"/>
      <c r="F157" s="85"/>
    </row>
    <row r="158">
      <c r="A158" s="85"/>
      <c r="B158" s="85"/>
      <c r="C158" s="85"/>
      <c r="D158" s="85"/>
      <c r="E158" s="85"/>
      <c r="F158" s="85"/>
    </row>
    <row r="159">
      <c r="A159" s="85"/>
      <c r="B159" s="85"/>
      <c r="C159" s="85"/>
      <c r="D159" s="85"/>
      <c r="E159" s="85"/>
      <c r="F159" s="85"/>
    </row>
    <row r="160">
      <c r="A160" s="85"/>
      <c r="B160" s="85"/>
      <c r="C160" s="85"/>
      <c r="D160" s="85"/>
      <c r="E160" s="85"/>
      <c r="F160" s="85"/>
    </row>
    <row r="161">
      <c r="A161" s="85"/>
      <c r="B161" s="85"/>
      <c r="C161" s="85"/>
      <c r="D161" s="85"/>
      <c r="E161" s="85"/>
      <c r="F161" s="85"/>
    </row>
    <row r="162">
      <c r="A162" s="85"/>
      <c r="B162" s="85"/>
      <c r="C162" s="85"/>
      <c r="D162" s="85"/>
      <c r="E162" s="85"/>
      <c r="F162" s="85"/>
    </row>
    <row r="163">
      <c r="A163" s="85"/>
      <c r="B163" s="85"/>
      <c r="C163" s="85"/>
      <c r="D163" s="85"/>
      <c r="E163" s="85"/>
      <c r="F163" s="85"/>
    </row>
    <row r="164">
      <c r="A164" s="85"/>
      <c r="B164" s="85"/>
      <c r="C164" s="85"/>
      <c r="D164" s="85"/>
      <c r="E164" s="85"/>
      <c r="F164" s="85"/>
    </row>
    <row r="165">
      <c r="A165" s="85"/>
      <c r="B165" s="85"/>
      <c r="C165" s="85"/>
      <c r="D165" s="85"/>
      <c r="E165" s="85"/>
      <c r="F165" s="85"/>
    </row>
    <row r="166">
      <c r="A166" s="85"/>
      <c r="B166" s="85"/>
      <c r="C166" s="85"/>
      <c r="D166" s="85"/>
      <c r="E166" s="85"/>
      <c r="F166" s="85"/>
    </row>
    <row r="167">
      <c r="A167" s="85"/>
      <c r="B167" s="85"/>
      <c r="C167" s="85"/>
      <c r="D167" s="85"/>
      <c r="E167" s="85"/>
      <c r="F167" s="85"/>
    </row>
    <row r="168">
      <c r="A168" s="85"/>
      <c r="B168" s="85"/>
      <c r="C168" s="85"/>
      <c r="D168" s="85"/>
      <c r="E168" s="85"/>
      <c r="F168" s="85"/>
    </row>
    <row r="169">
      <c r="A169" s="85"/>
      <c r="B169" s="85"/>
      <c r="C169" s="85"/>
      <c r="D169" s="85"/>
      <c r="E169" s="85"/>
      <c r="F169" s="85"/>
    </row>
    <row r="170">
      <c r="A170" s="85"/>
      <c r="B170" s="85"/>
      <c r="C170" s="85"/>
      <c r="D170" s="85"/>
      <c r="E170" s="85"/>
      <c r="F170" s="85"/>
    </row>
    <row r="171">
      <c r="A171" s="85"/>
      <c r="B171" s="85"/>
      <c r="C171" s="85"/>
      <c r="D171" s="85"/>
      <c r="E171" s="85"/>
      <c r="F171" s="85"/>
    </row>
    <row r="172">
      <c r="A172" s="85"/>
      <c r="B172" s="85"/>
      <c r="C172" s="85"/>
      <c r="D172" s="85"/>
      <c r="E172" s="85"/>
      <c r="F172" s="85"/>
    </row>
    <row r="173">
      <c r="A173" s="85"/>
      <c r="B173" s="85"/>
      <c r="C173" s="85"/>
      <c r="D173" s="85"/>
      <c r="E173" s="85"/>
      <c r="F173" s="85"/>
    </row>
    <row r="174">
      <c r="A174" s="85"/>
      <c r="B174" s="85"/>
      <c r="C174" s="85"/>
      <c r="D174" s="85"/>
      <c r="E174" s="85"/>
      <c r="F174" s="85"/>
    </row>
    <row r="175">
      <c r="A175" s="85"/>
      <c r="B175" s="85"/>
      <c r="C175" s="85"/>
      <c r="D175" s="85"/>
      <c r="E175" s="85"/>
      <c r="F175" s="85"/>
    </row>
    <row r="176">
      <c r="A176" s="85"/>
      <c r="B176" s="85"/>
      <c r="C176" s="85"/>
      <c r="D176" s="85"/>
      <c r="E176" s="85"/>
      <c r="F176" s="85"/>
    </row>
    <row r="177">
      <c r="A177" s="85"/>
      <c r="B177" s="85"/>
      <c r="C177" s="85"/>
      <c r="D177" s="85"/>
      <c r="E177" s="85"/>
      <c r="F177" s="85"/>
    </row>
    <row r="178">
      <c r="A178" s="85"/>
      <c r="B178" s="85"/>
      <c r="C178" s="85"/>
      <c r="D178" s="85"/>
      <c r="E178" s="85"/>
      <c r="F178" s="85"/>
    </row>
    <row r="179">
      <c r="A179" s="85"/>
      <c r="B179" s="85"/>
      <c r="C179" s="85"/>
      <c r="D179" s="85"/>
      <c r="E179" s="85"/>
      <c r="F179" s="85"/>
    </row>
    <row r="180">
      <c r="A180" s="85"/>
      <c r="B180" s="85"/>
      <c r="C180" s="85"/>
      <c r="D180" s="85"/>
      <c r="E180" s="85"/>
      <c r="F180" s="85"/>
    </row>
    <row r="181">
      <c r="A181" s="85"/>
      <c r="B181" s="85"/>
      <c r="C181" s="85"/>
      <c r="D181" s="85"/>
      <c r="E181" s="85"/>
      <c r="F181" s="85"/>
    </row>
    <row r="182">
      <c r="A182" s="85"/>
      <c r="B182" s="85"/>
      <c r="C182" s="85"/>
      <c r="D182" s="85"/>
      <c r="E182" s="85"/>
      <c r="F182" s="85"/>
    </row>
    <row r="183">
      <c r="A183" s="85"/>
      <c r="B183" s="85"/>
      <c r="C183" s="85"/>
      <c r="D183" s="85"/>
      <c r="E183" s="85"/>
      <c r="F183" s="85"/>
    </row>
    <row r="184">
      <c r="A184" s="85"/>
      <c r="B184" s="85"/>
      <c r="C184" s="85"/>
      <c r="D184" s="85"/>
      <c r="E184" s="85"/>
      <c r="F184" s="85"/>
    </row>
    <row r="185">
      <c r="A185" s="85"/>
      <c r="B185" s="85"/>
      <c r="C185" s="85"/>
      <c r="D185" s="85"/>
      <c r="E185" s="85"/>
      <c r="F185" s="85"/>
    </row>
    <row r="186">
      <c r="A186" s="85"/>
      <c r="B186" s="85"/>
      <c r="C186" s="85"/>
      <c r="D186" s="85"/>
      <c r="E186" s="85"/>
      <c r="F186" s="85"/>
    </row>
    <row r="187">
      <c r="A187" s="85"/>
      <c r="B187" s="85"/>
      <c r="C187" s="85"/>
      <c r="D187" s="85"/>
      <c r="E187" s="85"/>
      <c r="F187" s="85"/>
    </row>
    <row r="188">
      <c r="A188" s="85"/>
      <c r="B188" s="85"/>
      <c r="C188" s="85"/>
      <c r="D188" s="85"/>
      <c r="E188" s="85"/>
      <c r="F188" s="85"/>
    </row>
    <row r="189">
      <c r="A189" s="85"/>
      <c r="B189" s="85"/>
      <c r="C189" s="85"/>
      <c r="D189" s="85"/>
      <c r="E189" s="85"/>
      <c r="F189" s="85"/>
    </row>
    <row r="190">
      <c r="A190" s="85"/>
      <c r="B190" s="85"/>
      <c r="C190" s="85"/>
      <c r="D190" s="85"/>
      <c r="E190" s="85"/>
      <c r="F190" s="85"/>
    </row>
    <row r="191">
      <c r="A191" s="85"/>
      <c r="B191" s="85"/>
      <c r="C191" s="85"/>
      <c r="D191" s="85"/>
      <c r="E191" s="85"/>
      <c r="F191" s="85"/>
    </row>
    <row r="192">
      <c r="A192" s="85"/>
      <c r="B192" s="85"/>
      <c r="C192" s="85"/>
      <c r="D192" s="85"/>
      <c r="E192" s="85"/>
      <c r="F192" s="85"/>
    </row>
    <row r="193">
      <c r="A193" s="85"/>
      <c r="B193" s="85"/>
      <c r="C193" s="85"/>
      <c r="D193" s="85"/>
      <c r="E193" s="85"/>
      <c r="F193" s="85"/>
    </row>
    <row r="194">
      <c r="A194" s="85"/>
      <c r="B194" s="85"/>
      <c r="C194" s="85"/>
      <c r="D194" s="85"/>
      <c r="E194" s="85"/>
      <c r="F194" s="85"/>
    </row>
    <row r="195">
      <c r="A195" s="85"/>
      <c r="B195" s="85"/>
      <c r="C195" s="85"/>
      <c r="D195" s="85"/>
      <c r="E195" s="85"/>
      <c r="F195" s="85"/>
    </row>
    <row r="196">
      <c r="A196" s="85"/>
      <c r="B196" s="85"/>
      <c r="C196" s="85"/>
      <c r="D196" s="85"/>
      <c r="E196" s="85"/>
      <c r="F196" s="85"/>
    </row>
    <row r="197">
      <c r="A197" s="85"/>
      <c r="B197" s="85"/>
      <c r="C197" s="85"/>
      <c r="D197" s="85"/>
      <c r="E197" s="85"/>
      <c r="F197" s="85"/>
    </row>
    <row r="198">
      <c r="A198" s="85"/>
      <c r="B198" s="85"/>
      <c r="C198" s="85"/>
      <c r="D198" s="85"/>
      <c r="E198" s="85"/>
      <c r="F198" s="85"/>
    </row>
    <row r="199">
      <c r="A199" s="85"/>
      <c r="B199" s="85"/>
      <c r="C199" s="85"/>
      <c r="D199" s="85"/>
      <c r="E199" s="85"/>
      <c r="F199" s="85"/>
    </row>
    <row r="200">
      <c r="A200" s="85"/>
      <c r="B200" s="85"/>
      <c r="C200" s="85"/>
      <c r="D200" s="85"/>
      <c r="E200" s="85"/>
      <c r="F200" s="85"/>
    </row>
    <row r="201">
      <c r="A201" s="85"/>
      <c r="B201" s="85"/>
      <c r="C201" s="85"/>
      <c r="D201" s="85"/>
      <c r="E201" s="85"/>
      <c r="F201" s="85"/>
    </row>
    <row r="202">
      <c r="A202" s="85"/>
      <c r="B202" s="85"/>
      <c r="C202" s="85"/>
      <c r="D202" s="85"/>
      <c r="E202" s="85"/>
      <c r="F202" s="85"/>
    </row>
    <row r="203">
      <c r="A203" s="85"/>
      <c r="B203" s="85"/>
      <c r="C203" s="85"/>
      <c r="D203" s="85"/>
      <c r="E203" s="85"/>
      <c r="F203" s="85"/>
    </row>
    <row r="204">
      <c r="A204" s="85"/>
      <c r="B204" s="85"/>
      <c r="C204" s="85"/>
      <c r="D204" s="85"/>
      <c r="E204" s="85"/>
      <c r="F204" s="85"/>
    </row>
    <row r="205">
      <c r="A205" s="85"/>
      <c r="B205" s="85"/>
      <c r="C205" s="85"/>
      <c r="D205" s="85"/>
      <c r="E205" s="85"/>
      <c r="F205" s="85"/>
    </row>
    <row r="206">
      <c r="A206" s="85"/>
      <c r="B206" s="85"/>
      <c r="C206" s="85"/>
      <c r="D206" s="85"/>
      <c r="E206" s="85"/>
      <c r="F206" s="85"/>
    </row>
    <row r="207">
      <c r="A207" s="85"/>
      <c r="B207" s="85"/>
      <c r="C207" s="85"/>
      <c r="D207" s="85"/>
      <c r="E207" s="85"/>
      <c r="F207" s="85"/>
    </row>
    <row r="208">
      <c r="A208" s="85"/>
      <c r="B208" s="85"/>
      <c r="C208" s="85"/>
      <c r="D208" s="85"/>
      <c r="E208" s="85"/>
      <c r="F208" s="85"/>
    </row>
    <row r="209">
      <c r="A209" s="85"/>
      <c r="B209" s="85"/>
      <c r="C209" s="85"/>
      <c r="D209" s="85"/>
      <c r="E209" s="85"/>
      <c r="F209" s="85"/>
    </row>
    <row r="210">
      <c r="A210" s="85"/>
      <c r="B210" s="85"/>
      <c r="C210" s="85"/>
      <c r="D210" s="85"/>
      <c r="E210" s="85"/>
      <c r="F210" s="85"/>
    </row>
    <row r="211">
      <c r="A211" s="85"/>
      <c r="B211" s="85"/>
      <c r="C211" s="85"/>
      <c r="D211" s="85"/>
      <c r="E211" s="85"/>
      <c r="F211" s="85"/>
    </row>
    <row r="212">
      <c r="A212" s="85"/>
      <c r="B212" s="85"/>
      <c r="C212" s="85"/>
      <c r="D212" s="85"/>
      <c r="E212" s="85"/>
      <c r="F212" s="85"/>
    </row>
    <row r="213">
      <c r="A213" s="85"/>
      <c r="B213" s="85"/>
      <c r="C213" s="85"/>
      <c r="D213" s="85"/>
      <c r="E213" s="85"/>
      <c r="F213" s="85"/>
    </row>
    <row r="214">
      <c r="A214" s="85"/>
      <c r="B214" s="85"/>
      <c r="C214" s="85"/>
      <c r="D214" s="85"/>
      <c r="E214" s="85"/>
      <c r="F214" s="85"/>
    </row>
    <row r="215">
      <c r="A215" s="85"/>
      <c r="B215" s="85"/>
      <c r="C215" s="85"/>
      <c r="D215" s="85"/>
      <c r="E215" s="85"/>
      <c r="F215" s="85"/>
    </row>
    <row r="216">
      <c r="A216" s="85"/>
      <c r="B216" s="85"/>
      <c r="C216" s="85"/>
      <c r="D216" s="85"/>
      <c r="E216" s="85"/>
      <c r="F216" s="85"/>
    </row>
    <row r="217">
      <c r="A217" s="85"/>
      <c r="B217" s="85"/>
      <c r="C217" s="85"/>
      <c r="D217" s="85"/>
      <c r="E217" s="85"/>
      <c r="F217" s="85"/>
    </row>
    <row r="218">
      <c r="A218" s="85"/>
      <c r="B218" s="85"/>
      <c r="C218" s="85"/>
      <c r="D218" s="85"/>
      <c r="E218" s="85"/>
      <c r="F218" s="85"/>
    </row>
    <row r="219">
      <c r="A219" s="85"/>
      <c r="B219" s="85"/>
      <c r="C219" s="85"/>
      <c r="D219" s="85"/>
      <c r="E219" s="85"/>
      <c r="F219" s="85"/>
    </row>
    <row r="220">
      <c r="A220" s="85"/>
      <c r="B220" s="85"/>
      <c r="C220" s="85"/>
      <c r="D220" s="85"/>
      <c r="E220" s="85"/>
      <c r="F220" s="85"/>
    </row>
    <row r="221">
      <c r="A221" s="85"/>
      <c r="B221" s="85"/>
      <c r="C221" s="85"/>
      <c r="D221" s="85"/>
      <c r="E221" s="85"/>
      <c r="F221" s="85"/>
    </row>
    <row r="222">
      <c r="A222" s="85"/>
      <c r="B222" s="85"/>
      <c r="C222" s="85"/>
      <c r="D222" s="85"/>
      <c r="E222" s="85"/>
      <c r="F222" s="85"/>
    </row>
    <row r="223">
      <c r="A223" s="85"/>
      <c r="B223" s="85"/>
      <c r="C223" s="85"/>
      <c r="D223" s="85"/>
      <c r="E223" s="85"/>
      <c r="F223" s="85"/>
    </row>
    <row r="224">
      <c r="A224" s="85"/>
      <c r="B224" s="85"/>
      <c r="C224" s="85"/>
      <c r="D224" s="85"/>
      <c r="E224" s="85"/>
      <c r="F224" s="85"/>
    </row>
    <row r="225">
      <c r="A225" s="85"/>
      <c r="B225" s="85"/>
      <c r="C225" s="85"/>
      <c r="D225" s="85"/>
      <c r="E225" s="85"/>
      <c r="F225" s="85"/>
    </row>
    <row r="226">
      <c r="A226" s="85"/>
      <c r="B226" s="85"/>
      <c r="C226" s="85"/>
      <c r="D226" s="85"/>
      <c r="E226" s="85"/>
      <c r="F226" s="85"/>
    </row>
    <row r="227">
      <c r="A227" s="85"/>
      <c r="B227" s="85"/>
      <c r="C227" s="85"/>
      <c r="D227" s="85"/>
      <c r="E227" s="85"/>
      <c r="F227" s="85"/>
    </row>
    <row r="228">
      <c r="A228" s="85"/>
      <c r="B228" s="85"/>
      <c r="C228" s="85"/>
      <c r="D228" s="85"/>
      <c r="E228" s="85"/>
      <c r="F228" s="85"/>
    </row>
    <row r="229">
      <c r="A229" s="85"/>
      <c r="B229" s="85"/>
      <c r="C229" s="85"/>
      <c r="D229" s="85"/>
      <c r="E229" s="85"/>
      <c r="F229" s="85"/>
    </row>
    <row r="230">
      <c r="A230" s="85"/>
      <c r="B230" s="85"/>
      <c r="C230" s="85"/>
      <c r="D230" s="85"/>
      <c r="E230" s="85"/>
      <c r="F230" s="85"/>
    </row>
    <row r="231">
      <c r="A231" s="85"/>
      <c r="B231" s="85"/>
      <c r="C231" s="85"/>
      <c r="D231" s="85"/>
      <c r="E231" s="85"/>
      <c r="F231" s="85"/>
    </row>
    <row r="232">
      <c r="A232" s="85"/>
      <c r="B232" s="85"/>
      <c r="C232" s="85"/>
      <c r="D232" s="85"/>
      <c r="E232" s="85"/>
      <c r="F232" s="85"/>
    </row>
    <row r="233">
      <c r="A233" s="85"/>
      <c r="B233" s="85"/>
      <c r="C233" s="85"/>
      <c r="D233" s="85"/>
      <c r="E233" s="85"/>
      <c r="F233" s="85"/>
    </row>
    <row r="234">
      <c r="A234" s="85"/>
      <c r="B234" s="85"/>
      <c r="C234" s="85"/>
      <c r="D234" s="85"/>
      <c r="E234" s="85"/>
      <c r="F234" s="85"/>
    </row>
    <row r="235">
      <c r="A235" s="85"/>
      <c r="B235" s="85"/>
      <c r="C235" s="85"/>
      <c r="D235" s="85"/>
      <c r="E235" s="85"/>
      <c r="F235" s="85"/>
    </row>
    <row r="236">
      <c r="A236" s="85"/>
      <c r="B236" s="85"/>
      <c r="C236" s="85"/>
      <c r="D236" s="85"/>
      <c r="E236" s="85"/>
      <c r="F236" s="85"/>
    </row>
    <row r="237">
      <c r="A237" s="85"/>
      <c r="B237" s="85"/>
      <c r="C237" s="85"/>
      <c r="D237" s="85"/>
      <c r="E237" s="85"/>
      <c r="F237" s="85"/>
    </row>
    <row r="238">
      <c r="A238" s="85"/>
      <c r="B238" s="85"/>
      <c r="C238" s="85"/>
      <c r="D238" s="85"/>
      <c r="E238" s="85"/>
      <c r="F238" s="85"/>
    </row>
    <row r="239">
      <c r="A239" s="85"/>
      <c r="B239" s="85"/>
      <c r="C239" s="85"/>
      <c r="D239" s="85"/>
      <c r="E239" s="85"/>
      <c r="F239" s="85"/>
    </row>
    <row r="240">
      <c r="A240" s="85"/>
      <c r="B240" s="85"/>
      <c r="C240" s="85"/>
      <c r="D240" s="85"/>
      <c r="E240" s="85"/>
      <c r="F240" s="85"/>
    </row>
    <row r="241">
      <c r="A241" s="85"/>
      <c r="B241" s="85"/>
      <c r="C241" s="85"/>
      <c r="D241" s="85"/>
      <c r="E241" s="85"/>
      <c r="F241" s="85"/>
    </row>
    <row r="242">
      <c r="A242" s="85"/>
      <c r="B242" s="85"/>
      <c r="C242" s="85"/>
      <c r="D242" s="85"/>
      <c r="E242" s="85"/>
      <c r="F242" s="85"/>
    </row>
    <row r="243">
      <c r="A243" s="85"/>
      <c r="B243" s="85"/>
      <c r="C243" s="85"/>
      <c r="D243" s="85"/>
      <c r="E243" s="85"/>
      <c r="F243" s="85"/>
    </row>
    <row r="244">
      <c r="A244" s="85"/>
      <c r="B244" s="85"/>
      <c r="C244" s="85"/>
      <c r="D244" s="85"/>
      <c r="E244" s="85"/>
      <c r="F244" s="85"/>
    </row>
    <row r="245">
      <c r="A245" s="85"/>
      <c r="B245" s="85"/>
      <c r="C245" s="85"/>
      <c r="D245" s="85"/>
      <c r="E245" s="85"/>
      <c r="F245" s="85"/>
    </row>
    <row r="246">
      <c r="A246" s="85"/>
      <c r="B246" s="85"/>
      <c r="C246" s="85"/>
      <c r="D246" s="85"/>
      <c r="E246" s="85"/>
      <c r="F246" s="85"/>
    </row>
    <row r="247">
      <c r="A247" s="85"/>
      <c r="B247" s="85"/>
      <c r="C247" s="85"/>
      <c r="D247" s="85"/>
      <c r="E247" s="85"/>
      <c r="F247" s="85"/>
    </row>
    <row r="248">
      <c r="A248" s="85"/>
      <c r="B248" s="85"/>
      <c r="C248" s="85"/>
      <c r="D248" s="85"/>
      <c r="E248" s="85"/>
      <c r="F248" s="85"/>
    </row>
    <row r="249">
      <c r="A249" s="85"/>
      <c r="B249" s="85"/>
      <c r="C249" s="85"/>
      <c r="D249" s="85"/>
      <c r="E249" s="85"/>
      <c r="F249" s="85"/>
    </row>
    <row r="250">
      <c r="A250" s="85"/>
      <c r="B250" s="85"/>
      <c r="C250" s="85"/>
      <c r="D250" s="85"/>
      <c r="E250" s="85"/>
      <c r="F250" s="85"/>
    </row>
    <row r="251">
      <c r="A251" s="85"/>
      <c r="B251" s="85"/>
      <c r="C251" s="85"/>
      <c r="D251" s="85"/>
      <c r="E251" s="85"/>
      <c r="F251" s="85"/>
    </row>
    <row r="252">
      <c r="A252" s="85"/>
      <c r="B252" s="85"/>
      <c r="C252" s="85"/>
      <c r="D252" s="85"/>
      <c r="E252" s="85"/>
      <c r="F252" s="85"/>
    </row>
    <row r="253">
      <c r="A253" s="85"/>
      <c r="B253" s="85"/>
      <c r="C253" s="85"/>
      <c r="D253" s="85"/>
      <c r="E253" s="85"/>
      <c r="F253" s="85"/>
    </row>
    <row r="254">
      <c r="A254" s="85"/>
      <c r="B254" s="85"/>
      <c r="C254" s="85"/>
      <c r="D254" s="85"/>
      <c r="E254" s="85"/>
      <c r="F254" s="85"/>
    </row>
    <row r="255">
      <c r="A255" s="85"/>
      <c r="B255" s="85"/>
      <c r="C255" s="85"/>
      <c r="D255" s="85"/>
      <c r="E255" s="85"/>
      <c r="F255" s="85"/>
    </row>
    <row r="256">
      <c r="A256" s="85"/>
      <c r="B256" s="85"/>
      <c r="C256" s="85"/>
      <c r="D256" s="85"/>
      <c r="E256" s="85"/>
      <c r="F256" s="85"/>
    </row>
    <row r="257">
      <c r="A257" s="85"/>
      <c r="B257" s="85"/>
      <c r="C257" s="85"/>
      <c r="D257" s="85"/>
      <c r="E257" s="85"/>
      <c r="F257" s="85"/>
    </row>
    <row r="258">
      <c r="A258" s="85"/>
      <c r="B258" s="85"/>
      <c r="C258" s="85"/>
      <c r="D258" s="85"/>
      <c r="E258" s="85"/>
      <c r="F258" s="85"/>
    </row>
    <row r="259">
      <c r="A259" s="85"/>
      <c r="B259" s="85"/>
      <c r="C259" s="85"/>
      <c r="D259" s="85"/>
      <c r="E259" s="85"/>
      <c r="F259" s="85"/>
    </row>
    <row r="260">
      <c r="A260" s="85"/>
      <c r="B260" s="85"/>
      <c r="C260" s="85"/>
      <c r="D260" s="85"/>
      <c r="E260" s="85"/>
      <c r="F260" s="85"/>
    </row>
    <row r="261">
      <c r="A261" s="85"/>
      <c r="B261" s="85"/>
      <c r="C261" s="85"/>
      <c r="D261" s="85"/>
      <c r="E261" s="85"/>
      <c r="F261" s="85"/>
    </row>
    <row r="262">
      <c r="A262" s="85"/>
      <c r="B262" s="85"/>
      <c r="C262" s="85"/>
      <c r="D262" s="85"/>
      <c r="E262" s="85"/>
      <c r="F262" s="85"/>
    </row>
    <row r="263">
      <c r="A263" s="85"/>
      <c r="B263" s="85"/>
      <c r="C263" s="85"/>
      <c r="D263" s="85"/>
      <c r="E263" s="85"/>
      <c r="F263" s="85"/>
    </row>
    <row r="264">
      <c r="A264" s="85"/>
      <c r="B264" s="85"/>
      <c r="C264" s="85"/>
      <c r="D264" s="85"/>
      <c r="E264" s="85"/>
      <c r="F264" s="85"/>
    </row>
    <row r="265">
      <c r="A265" s="85"/>
      <c r="B265" s="85"/>
      <c r="C265" s="85"/>
      <c r="D265" s="85"/>
      <c r="E265" s="85"/>
      <c r="F265" s="85"/>
    </row>
    <row r="266">
      <c r="A266" s="85"/>
      <c r="B266" s="85"/>
      <c r="C266" s="85"/>
      <c r="D266" s="85"/>
      <c r="E266" s="85"/>
      <c r="F266" s="85"/>
    </row>
    <row r="267">
      <c r="A267" s="85"/>
      <c r="B267" s="85"/>
      <c r="C267" s="85"/>
      <c r="D267" s="85"/>
      <c r="E267" s="85"/>
      <c r="F267" s="85"/>
    </row>
    <row r="268">
      <c r="A268" s="85"/>
      <c r="B268" s="85"/>
      <c r="C268" s="85"/>
      <c r="D268" s="85"/>
      <c r="E268" s="85"/>
      <c r="F268" s="85"/>
    </row>
    <row r="269">
      <c r="A269" s="85"/>
      <c r="B269" s="85"/>
      <c r="C269" s="85"/>
      <c r="D269" s="85"/>
      <c r="E269" s="85"/>
      <c r="F269" s="85"/>
    </row>
    <row r="270">
      <c r="A270" s="85"/>
      <c r="B270" s="85"/>
      <c r="C270" s="85"/>
      <c r="D270" s="85"/>
      <c r="E270" s="85"/>
      <c r="F270" s="85"/>
    </row>
    <row r="271">
      <c r="A271" s="85"/>
      <c r="B271" s="85"/>
      <c r="C271" s="85"/>
      <c r="D271" s="85"/>
      <c r="E271" s="85"/>
      <c r="F271" s="85"/>
    </row>
    <row r="272">
      <c r="A272" s="85"/>
      <c r="B272" s="85"/>
      <c r="C272" s="85"/>
      <c r="D272" s="85"/>
      <c r="E272" s="85"/>
      <c r="F272" s="85"/>
    </row>
    <row r="273">
      <c r="A273" s="85"/>
      <c r="B273" s="85"/>
      <c r="C273" s="85"/>
      <c r="D273" s="85"/>
      <c r="E273" s="85"/>
      <c r="F273" s="85"/>
    </row>
    <row r="274">
      <c r="A274" s="85"/>
      <c r="B274" s="85"/>
      <c r="C274" s="85"/>
      <c r="D274" s="85"/>
      <c r="E274" s="85"/>
      <c r="F274" s="85"/>
    </row>
    <row r="275">
      <c r="A275" s="85"/>
      <c r="B275" s="85"/>
      <c r="C275" s="85"/>
      <c r="D275" s="85"/>
      <c r="E275" s="85"/>
      <c r="F275" s="85"/>
    </row>
    <row r="276">
      <c r="A276" s="85"/>
      <c r="B276" s="85"/>
      <c r="C276" s="85"/>
      <c r="D276" s="85"/>
      <c r="E276" s="85"/>
      <c r="F276" s="85"/>
    </row>
    <row r="277">
      <c r="A277" s="85"/>
      <c r="B277" s="85"/>
      <c r="C277" s="85"/>
      <c r="D277" s="85"/>
      <c r="E277" s="85"/>
      <c r="F277" s="85"/>
    </row>
    <row r="278">
      <c r="A278" s="85"/>
      <c r="B278" s="85"/>
      <c r="C278" s="85"/>
      <c r="D278" s="85"/>
      <c r="E278" s="85"/>
      <c r="F278" s="85"/>
    </row>
    <row r="279">
      <c r="A279" s="85"/>
      <c r="B279" s="85"/>
      <c r="C279" s="85"/>
      <c r="D279" s="85"/>
      <c r="E279" s="85"/>
      <c r="F279" s="85"/>
    </row>
    <row r="280">
      <c r="A280" s="85"/>
      <c r="B280" s="85"/>
      <c r="C280" s="85"/>
      <c r="D280" s="85"/>
      <c r="E280" s="85"/>
      <c r="F280" s="85"/>
    </row>
    <row r="281">
      <c r="A281" s="85"/>
      <c r="B281" s="85"/>
      <c r="C281" s="85"/>
      <c r="D281" s="85"/>
      <c r="E281" s="85"/>
      <c r="F281" s="85"/>
    </row>
    <row r="282">
      <c r="A282" s="85"/>
      <c r="B282" s="85"/>
      <c r="C282" s="85"/>
      <c r="D282" s="85"/>
      <c r="E282" s="85"/>
      <c r="F282" s="85"/>
    </row>
    <row r="283">
      <c r="A283" s="85"/>
      <c r="B283" s="85"/>
      <c r="C283" s="85"/>
      <c r="D283" s="85"/>
      <c r="E283" s="85"/>
      <c r="F283" s="85"/>
    </row>
    <row r="284">
      <c r="A284" s="85"/>
      <c r="B284" s="85"/>
      <c r="C284" s="85"/>
      <c r="D284" s="85"/>
      <c r="E284" s="85"/>
      <c r="F284" s="85"/>
    </row>
    <row r="285">
      <c r="A285" s="85"/>
      <c r="B285" s="85"/>
      <c r="C285" s="85"/>
      <c r="D285" s="85"/>
      <c r="E285" s="85"/>
      <c r="F285" s="85"/>
    </row>
    <row r="286">
      <c r="A286" s="85"/>
      <c r="B286" s="85"/>
      <c r="C286" s="85"/>
      <c r="D286" s="85"/>
      <c r="E286" s="85"/>
      <c r="F286" s="85"/>
    </row>
    <row r="287">
      <c r="A287" s="85"/>
      <c r="B287" s="85"/>
      <c r="C287" s="85"/>
      <c r="D287" s="85"/>
      <c r="E287" s="85"/>
      <c r="F287" s="85"/>
    </row>
    <row r="288">
      <c r="A288" s="85"/>
      <c r="B288" s="85"/>
      <c r="C288" s="85"/>
      <c r="D288" s="85"/>
      <c r="E288" s="85"/>
      <c r="F288" s="85"/>
    </row>
    <row r="289">
      <c r="A289" s="85"/>
      <c r="B289" s="85"/>
      <c r="C289" s="85"/>
      <c r="D289" s="85"/>
      <c r="E289" s="85"/>
      <c r="F289" s="85"/>
    </row>
    <row r="290">
      <c r="A290" s="85"/>
      <c r="B290" s="85"/>
      <c r="C290" s="85"/>
      <c r="D290" s="85"/>
      <c r="E290" s="85"/>
      <c r="F290" s="85"/>
    </row>
    <row r="291">
      <c r="A291" s="85"/>
      <c r="B291" s="85"/>
      <c r="C291" s="85"/>
      <c r="D291" s="85"/>
      <c r="E291" s="85"/>
      <c r="F291" s="85"/>
    </row>
    <row r="292">
      <c r="A292" s="85"/>
      <c r="B292" s="85"/>
      <c r="C292" s="85"/>
      <c r="D292" s="85"/>
      <c r="E292" s="85"/>
      <c r="F292" s="85"/>
    </row>
    <row r="293">
      <c r="A293" s="85"/>
      <c r="B293" s="85"/>
      <c r="C293" s="85"/>
      <c r="D293" s="85"/>
      <c r="E293" s="85"/>
      <c r="F293" s="85"/>
    </row>
    <row r="294">
      <c r="A294" s="85"/>
      <c r="B294" s="85"/>
      <c r="C294" s="85"/>
      <c r="D294" s="85"/>
      <c r="E294" s="85"/>
      <c r="F294" s="85"/>
    </row>
    <row r="295">
      <c r="A295" s="85"/>
      <c r="B295" s="85"/>
      <c r="C295" s="85"/>
      <c r="D295" s="85"/>
      <c r="E295" s="85"/>
      <c r="F295" s="85"/>
    </row>
    <row r="296">
      <c r="A296" s="85"/>
      <c r="B296" s="85"/>
      <c r="C296" s="85"/>
      <c r="D296" s="85"/>
      <c r="E296" s="85"/>
      <c r="F296" s="85"/>
    </row>
    <row r="297">
      <c r="A297" s="85"/>
      <c r="B297" s="85"/>
      <c r="C297" s="85"/>
      <c r="D297" s="85"/>
      <c r="E297" s="85"/>
      <c r="F297" s="85"/>
    </row>
    <row r="298">
      <c r="A298" s="85"/>
      <c r="B298" s="85"/>
      <c r="C298" s="85"/>
      <c r="D298" s="85"/>
      <c r="E298" s="85"/>
      <c r="F298" s="85"/>
    </row>
    <row r="299">
      <c r="A299" s="85"/>
      <c r="B299" s="85"/>
      <c r="C299" s="85"/>
      <c r="D299" s="85"/>
      <c r="E299" s="85"/>
      <c r="F299" s="85"/>
    </row>
    <row r="300">
      <c r="A300" s="85"/>
      <c r="B300" s="85"/>
      <c r="C300" s="85"/>
      <c r="D300" s="85"/>
      <c r="E300" s="85"/>
      <c r="F300" s="85"/>
    </row>
    <row r="301">
      <c r="A301" s="85"/>
      <c r="B301" s="85"/>
      <c r="C301" s="85"/>
      <c r="D301" s="85"/>
      <c r="E301" s="85"/>
      <c r="F301" s="85"/>
    </row>
    <row r="302">
      <c r="A302" s="85"/>
      <c r="B302" s="85"/>
      <c r="C302" s="85"/>
      <c r="D302" s="85"/>
      <c r="E302" s="85"/>
      <c r="F302" s="85"/>
    </row>
    <row r="303">
      <c r="A303" s="85"/>
      <c r="B303" s="85"/>
      <c r="C303" s="85"/>
      <c r="D303" s="85"/>
      <c r="E303" s="85"/>
      <c r="F303" s="85"/>
    </row>
    <row r="304">
      <c r="A304" s="85"/>
      <c r="B304" s="85"/>
      <c r="C304" s="85"/>
      <c r="D304" s="85"/>
      <c r="E304" s="85"/>
      <c r="F304" s="85"/>
    </row>
    <row r="305">
      <c r="A305" s="85"/>
      <c r="B305" s="85"/>
      <c r="C305" s="85"/>
      <c r="D305" s="85"/>
      <c r="E305" s="85"/>
      <c r="F305" s="85"/>
    </row>
    <row r="306">
      <c r="A306" s="85"/>
      <c r="B306" s="85"/>
      <c r="C306" s="85"/>
      <c r="D306" s="85"/>
      <c r="E306" s="85"/>
      <c r="F306" s="85"/>
    </row>
    <row r="307">
      <c r="A307" s="85"/>
      <c r="B307" s="85"/>
      <c r="C307" s="85"/>
      <c r="D307" s="85"/>
      <c r="E307" s="85"/>
      <c r="F307" s="85"/>
    </row>
    <row r="308">
      <c r="A308" s="85"/>
      <c r="B308" s="85"/>
      <c r="C308" s="85"/>
      <c r="D308" s="85"/>
      <c r="E308" s="85"/>
      <c r="F308" s="85"/>
    </row>
    <row r="309">
      <c r="A309" s="85"/>
      <c r="B309" s="85"/>
      <c r="C309" s="85"/>
      <c r="D309" s="85"/>
      <c r="E309" s="85"/>
      <c r="F309" s="85"/>
    </row>
    <row r="310">
      <c r="A310" s="85"/>
      <c r="B310" s="85"/>
      <c r="C310" s="85"/>
      <c r="D310" s="85"/>
      <c r="E310" s="85"/>
      <c r="F310" s="85"/>
    </row>
    <row r="311">
      <c r="A311" s="85"/>
      <c r="B311" s="85"/>
      <c r="C311" s="85"/>
      <c r="D311" s="85"/>
      <c r="E311" s="85"/>
      <c r="F311" s="85"/>
    </row>
    <row r="312">
      <c r="A312" s="85"/>
      <c r="B312" s="85"/>
      <c r="C312" s="85"/>
      <c r="D312" s="85"/>
      <c r="E312" s="85"/>
      <c r="F312" s="85"/>
    </row>
    <row r="313">
      <c r="A313" s="85"/>
      <c r="B313" s="85"/>
      <c r="C313" s="85"/>
      <c r="D313" s="85"/>
      <c r="E313" s="85"/>
      <c r="F313" s="85"/>
    </row>
    <row r="314">
      <c r="A314" s="85"/>
      <c r="B314" s="85"/>
      <c r="C314" s="85"/>
      <c r="D314" s="85"/>
      <c r="E314" s="85"/>
      <c r="F314" s="85"/>
    </row>
    <row r="315">
      <c r="A315" s="85"/>
      <c r="B315" s="85"/>
      <c r="C315" s="85"/>
      <c r="D315" s="85"/>
      <c r="E315" s="85"/>
      <c r="F315" s="85"/>
    </row>
    <row r="316">
      <c r="A316" s="85"/>
      <c r="B316" s="85"/>
      <c r="C316" s="85"/>
      <c r="D316" s="85"/>
      <c r="E316" s="85"/>
      <c r="F316" s="85"/>
    </row>
    <row r="317">
      <c r="A317" s="85"/>
      <c r="B317" s="85"/>
      <c r="C317" s="85"/>
      <c r="D317" s="85"/>
      <c r="E317" s="85"/>
      <c r="F317" s="85"/>
    </row>
    <row r="318">
      <c r="A318" s="85"/>
      <c r="B318" s="85"/>
      <c r="C318" s="85"/>
      <c r="D318" s="85"/>
      <c r="E318" s="85"/>
      <c r="F318" s="85"/>
    </row>
    <row r="319">
      <c r="A319" s="85"/>
      <c r="B319" s="85"/>
      <c r="C319" s="85"/>
      <c r="D319" s="85"/>
      <c r="E319" s="85"/>
      <c r="F319" s="85"/>
    </row>
    <row r="320">
      <c r="A320" s="85"/>
      <c r="B320" s="85"/>
      <c r="C320" s="85"/>
      <c r="D320" s="85"/>
      <c r="E320" s="85"/>
      <c r="F320" s="85"/>
    </row>
    <row r="321">
      <c r="A321" s="85"/>
      <c r="B321" s="85"/>
      <c r="C321" s="85"/>
      <c r="D321" s="85"/>
      <c r="E321" s="85"/>
      <c r="F321" s="85"/>
    </row>
    <row r="322">
      <c r="A322" s="85"/>
      <c r="B322" s="85"/>
      <c r="C322" s="85"/>
      <c r="D322" s="85"/>
      <c r="E322" s="85"/>
      <c r="F322" s="85"/>
    </row>
    <row r="323">
      <c r="A323" s="85"/>
      <c r="B323" s="85"/>
      <c r="C323" s="85"/>
      <c r="D323" s="85"/>
      <c r="E323" s="85"/>
      <c r="F323" s="85"/>
    </row>
    <row r="324">
      <c r="A324" s="85"/>
      <c r="B324" s="85"/>
      <c r="C324" s="85"/>
      <c r="D324" s="85"/>
      <c r="E324" s="85"/>
      <c r="F324" s="85"/>
    </row>
    <row r="325">
      <c r="A325" s="85"/>
      <c r="B325" s="85"/>
      <c r="C325" s="85"/>
      <c r="D325" s="85"/>
      <c r="E325" s="85"/>
      <c r="F325" s="85"/>
    </row>
    <row r="326">
      <c r="A326" s="85"/>
      <c r="B326" s="85"/>
      <c r="C326" s="85"/>
      <c r="D326" s="85"/>
      <c r="E326" s="85"/>
      <c r="F326" s="85"/>
    </row>
    <row r="327">
      <c r="A327" s="85"/>
      <c r="B327" s="85"/>
      <c r="C327" s="85"/>
      <c r="D327" s="85"/>
      <c r="E327" s="85"/>
      <c r="F327" s="85"/>
    </row>
    <row r="328">
      <c r="A328" s="85"/>
      <c r="B328" s="85"/>
      <c r="C328" s="85"/>
      <c r="D328" s="85"/>
      <c r="E328" s="85"/>
      <c r="F328" s="85"/>
    </row>
    <row r="329">
      <c r="A329" s="85"/>
      <c r="B329" s="85"/>
      <c r="C329" s="85"/>
      <c r="D329" s="85"/>
      <c r="E329" s="85"/>
      <c r="F329" s="85"/>
    </row>
    <row r="330">
      <c r="A330" s="85"/>
      <c r="B330" s="85"/>
      <c r="C330" s="85"/>
      <c r="D330" s="85"/>
      <c r="E330" s="85"/>
      <c r="F330" s="85"/>
    </row>
    <row r="331">
      <c r="A331" s="85"/>
      <c r="B331" s="85"/>
      <c r="C331" s="85"/>
      <c r="D331" s="85"/>
      <c r="E331" s="85"/>
      <c r="F331" s="85"/>
    </row>
    <row r="332">
      <c r="A332" s="85"/>
      <c r="B332" s="85"/>
      <c r="C332" s="85"/>
      <c r="D332" s="85"/>
      <c r="E332" s="85"/>
      <c r="F332" s="85"/>
    </row>
    <row r="333">
      <c r="A333" s="85"/>
      <c r="B333" s="85"/>
      <c r="C333" s="85"/>
      <c r="D333" s="85"/>
      <c r="E333" s="85"/>
      <c r="F333" s="85"/>
    </row>
    <row r="334">
      <c r="A334" s="85"/>
      <c r="B334" s="85"/>
      <c r="C334" s="85"/>
      <c r="D334" s="85"/>
      <c r="E334" s="85"/>
      <c r="F334" s="85"/>
    </row>
    <row r="335">
      <c r="A335" s="85"/>
      <c r="B335" s="85"/>
      <c r="C335" s="85"/>
      <c r="D335" s="85"/>
      <c r="E335" s="85"/>
      <c r="F335" s="85"/>
    </row>
    <row r="336">
      <c r="A336" s="85"/>
      <c r="B336" s="85"/>
      <c r="C336" s="85"/>
      <c r="D336" s="85"/>
      <c r="E336" s="85"/>
      <c r="F336" s="85"/>
    </row>
    <row r="337">
      <c r="A337" s="85"/>
      <c r="B337" s="85"/>
      <c r="C337" s="85"/>
      <c r="D337" s="85"/>
      <c r="E337" s="85"/>
      <c r="F337" s="85"/>
    </row>
    <row r="338">
      <c r="A338" s="85"/>
      <c r="B338" s="85"/>
      <c r="C338" s="85"/>
      <c r="D338" s="85"/>
      <c r="E338" s="85"/>
      <c r="F338" s="85"/>
    </row>
    <row r="339">
      <c r="A339" s="85"/>
      <c r="B339" s="85"/>
      <c r="C339" s="85"/>
      <c r="D339" s="85"/>
      <c r="E339" s="85"/>
      <c r="F339" s="85"/>
    </row>
    <row r="340">
      <c r="A340" s="85"/>
      <c r="B340" s="85"/>
      <c r="C340" s="85"/>
      <c r="D340" s="85"/>
      <c r="E340" s="85"/>
      <c r="F340" s="85"/>
    </row>
    <row r="341">
      <c r="A341" s="85"/>
      <c r="B341" s="85"/>
      <c r="C341" s="85"/>
      <c r="D341" s="85"/>
      <c r="E341" s="85"/>
      <c r="F341" s="85"/>
    </row>
    <row r="342">
      <c r="A342" s="85"/>
      <c r="B342" s="85"/>
      <c r="C342" s="85"/>
      <c r="D342" s="85"/>
      <c r="E342" s="85"/>
      <c r="F342" s="85"/>
    </row>
    <row r="343">
      <c r="A343" s="85"/>
      <c r="B343" s="85"/>
      <c r="C343" s="85"/>
      <c r="D343" s="85"/>
      <c r="E343" s="85"/>
      <c r="F343" s="85"/>
    </row>
    <row r="344">
      <c r="A344" s="85"/>
      <c r="B344" s="85"/>
      <c r="C344" s="85"/>
      <c r="D344" s="85"/>
      <c r="E344" s="85"/>
      <c r="F344" s="85"/>
    </row>
    <row r="345">
      <c r="A345" s="85"/>
      <c r="B345" s="85"/>
      <c r="C345" s="85"/>
      <c r="D345" s="85"/>
      <c r="E345" s="85"/>
      <c r="F345" s="85"/>
    </row>
    <row r="346">
      <c r="A346" s="85"/>
      <c r="B346" s="85"/>
      <c r="C346" s="85"/>
      <c r="D346" s="85"/>
      <c r="E346" s="85"/>
      <c r="F346" s="85"/>
    </row>
    <row r="347">
      <c r="A347" s="85"/>
      <c r="B347" s="85"/>
      <c r="C347" s="85"/>
      <c r="D347" s="85"/>
      <c r="E347" s="85"/>
      <c r="F347" s="85"/>
    </row>
    <row r="348">
      <c r="A348" s="85"/>
      <c r="B348" s="85"/>
      <c r="C348" s="85"/>
      <c r="D348" s="85"/>
      <c r="E348" s="85"/>
      <c r="F348" s="85"/>
    </row>
    <row r="349">
      <c r="A349" s="85"/>
      <c r="B349" s="85"/>
      <c r="C349" s="85"/>
      <c r="D349" s="85"/>
      <c r="E349" s="85"/>
      <c r="F349" s="85"/>
    </row>
    <row r="350">
      <c r="A350" s="85"/>
      <c r="B350" s="85"/>
      <c r="C350" s="85"/>
      <c r="D350" s="85"/>
      <c r="E350" s="85"/>
      <c r="F350" s="85"/>
    </row>
    <row r="351">
      <c r="A351" s="85"/>
      <c r="B351" s="85"/>
      <c r="C351" s="85"/>
      <c r="D351" s="85"/>
      <c r="E351" s="85"/>
      <c r="F351" s="85"/>
    </row>
    <row r="352">
      <c r="A352" s="85"/>
      <c r="B352" s="85"/>
      <c r="C352" s="85"/>
      <c r="D352" s="85"/>
      <c r="E352" s="85"/>
      <c r="F352" s="85"/>
    </row>
    <row r="353">
      <c r="A353" s="85"/>
      <c r="B353" s="85"/>
      <c r="C353" s="85"/>
      <c r="D353" s="85"/>
      <c r="E353" s="85"/>
      <c r="F353" s="85"/>
    </row>
    <row r="354">
      <c r="A354" s="85"/>
      <c r="B354" s="85"/>
      <c r="C354" s="85"/>
      <c r="D354" s="85"/>
      <c r="E354" s="85"/>
      <c r="F354" s="85"/>
    </row>
    <row r="355">
      <c r="A355" s="85"/>
      <c r="B355" s="85"/>
      <c r="C355" s="85"/>
      <c r="D355" s="85"/>
      <c r="E355" s="85"/>
      <c r="F355" s="85"/>
    </row>
    <row r="356">
      <c r="A356" s="85"/>
      <c r="B356" s="85"/>
      <c r="C356" s="85"/>
      <c r="D356" s="85"/>
      <c r="E356" s="85"/>
      <c r="F356" s="85"/>
    </row>
    <row r="357">
      <c r="A357" s="85"/>
      <c r="B357" s="85"/>
      <c r="C357" s="85"/>
      <c r="D357" s="85"/>
      <c r="E357" s="85"/>
      <c r="F357" s="85"/>
    </row>
    <row r="358">
      <c r="A358" s="85"/>
      <c r="B358" s="85"/>
      <c r="C358" s="85"/>
      <c r="D358" s="85"/>
      <c r="E358" s="85"/>
      <c r="F358" s="85"/>
    </row>
    <row r="359">
      <c r="A359" s="85"/>
      <c r="B359" s="85"/>
      <c r="C359" s="85"/>
      <c r="D359" s="85"/>
      <c r="E359" s="85"/>
      <c r="F359" s="85"/>
    </row>
    <row r="360">
      <c r="A360" s="85"/>
      <c r="B360" s="85"/>
      <c r="C360" s="85"/>
      <c r="D360" s="85"/>
      <c r="E360" s="85"/>
      <c r="F360" s="85"/>
    </row>
    <row r="361">
      <c r="A361" s="85"/>
      <c r="B361" s="85"/>
      <c r="C361" s="85"/>
      <c r="D361" s="85"/>
      <c r="E361" s="85"/>
      <c r="F361" s="85"/>
    </row>
    <row r="362">
      <c r="A362" s="85"/>
      <c r="B362" s="85"/>
      <c r="C362" s="85"/>
      <c r="D362" s="85"/>
      <c r="E362" s="85"/>
      <c r="F362" s="85"/>
    </row>
    <row r="363">
      <c r="A363" s="85"/>
      <c r="B363" s="85"/>
      <c r="C363" s="85"/>
      <c r="D363" s="85"/>
      <c r="E363" s="85"/>
      <c r="F363" s="85"/>
    </row>
    <row r="364">
      <c r="A364" s="85"/>
      <c r="B364" s="85"/>
      <c r="C364" s="85"/>
      <c r="D364" s="85"/>
      <c r="E364" s="85"/>
      <c r="F364" s="85"/>
    </row>
    <row r="365">
      <c r="A365" s="85"/>
      <c r="B365" s="85"/>
      <c r="C365" s="85"/>
      <c r="D365" s="85"/>
      <c r="E365" s="85"/>
      <c r="F365" s="85"/>
    </row>
    <row r="366">
      <c r="A366" s="85"/>
      <c r="B366" s="85"/>
      <c r="C366" s="85"/>
      <c r="D366" s="85"/>
      <c r="E366" s="85"/>
      <c r="F366" s="85"/>
    </row>
    <row r="367">
      <c r="A367" s="85"/>
      <c r="B367" s="85"/>
      <c r="C367" s="85"/>
      <c r="D367" s="85"/>
      <c r="E367" s="85"/>
      <c r="F367" s="85"/>
    </row>
    <row r="368">
      <c r="A368" s="85"/>
      <c r="B368" s="85"/>
      <c r="C368" s="85"/>
      <c r="D368" s="85"/>
      <c r="E368" s="85"/>
      <c r="F368" s="85"/>
    </row>
    <row r="369">
      <c r="A369" s="85"/>
      <c r="B369" s="85"/>
      <c r="C369" s="85"/>
      <c r="D369" s="85"/>
      <c r="E369" s="85"/>
      <c r="F369" s="85"/>
    </row>
    <row r="370">
      <c r="A370" s="85"/>
      <c r="B370" s="85"/>
      <c r="C370" s="85"/>
      <c r="D370" s="85"/>
      <c r="E370" s="85"/>
      <c r="F370" s="85"/>
    </row>
    <row r="371">
      <c r="A371" s="85"/>
      <c r="B371" s="85"/>
      <c r="C371" s="85"/>
      <c r="D371" s="85"/>
      <c r="E371" s="85"/>
      <c r="F371" s="85"/>
    </row>
    <row r="372">
      <c r="A372" s="85"/>
      <c r="B372" s="85"/>
      <c r="C372" s="85"/>
      <c r="D372" s="85"/>
      <c r="E372" s="85"/>
      <c r="F372" s="85"/>
    </row>
    <row r="373">
      <c r="A373" s="85"/>
      <c r="B373" s="85"/>
      <c r="C373" s="85"/>
      <c r="D373" s="85"/>
      <c r="E373" s="85"/>
      <c r="F373" s="85"/>
    </row>
    <row r="374">
      <c r="A374" s="85"/>
      <c r="B374" s="85"/>
      <c r="C374" s="85"/>
      <c r="D374" s="85"/>
      <c r="E374" s="85"/>
      <c r="F374" s="85"/>
    </row>
    <row r="375">
      <c r="A375" s="85"/>
      <c r="B375" s="85"/>
      <c r="C375" s="85"/>
      <c r="D375" s="85"/>
      <c r="E375" s="85"/>
      <c r="F375" s="85"/>
    </row>
    <row r="376">
      <c r="A376" s="85"/>
      <c r="B376" s="85"/>
      <c r="C376" s="85"/>
      <c r="D376" s="85"/>
      <c r="E376" s="85"/>
      <c r="F376" s="85"/>
    </row>
    <row r="377">
      <c r="A377" s="85"/>
      <c r="B377" s="85"/>
      <c r="C377" s="85"/>
      <c r="D377" s="85"/>
      <c r="E377" s="85"/>
      <c r="F377" s="85"/>
    </row>
    <row r="378">
      <c r="A378" s="85"/>
      <c r="B378" s="85"/>
      <c r="C378" s="85"/>
      <c r="D378" s="85"/>
      <c r="E378" s="85"/>
      <c r="F378" s="85"/>
    </row>
    <row r="379">
      <c r="A379" s="85"/>
      <c r="B379" s="85"/>
      <c r="C379" s="85"/>
      <c r="D379" s="85"/>
      <c r="E379" s="85"/>
      <c r="F379" s="85"/>
    </row>
    <row r="380">
      <c r="A380" s="85"/>
      <c r="B380" s="85"/>
      <c r="C380" s="85"/>
      <c r="D380" s="85"/>
      <c r="E380" s="85"/>
      <c r="F380" s="85"/>
    </row>
    <row r="381">
      <c r="A381" s="85"/>
      <c r="B381" s="85"/>
      <c r="C381" s="85"/>
      <c r="D381" s="85"/>
      <c r="E381" s="85"/>
      <c r="F381" s="85"/>
    </row>
    <row r="382">
      <c r="A382" s="85"/>
      <c r="B382" s="85"/>
      <c r="C382" s="85"/>
      <c r="D382" s="85"/>
      <c r="E382" s="85"/>
      <c r="F382" s="85"/>
    </row>
    <row r="383">
      <c r="A383" s="85"/>
      <c r="B383" s="85"/>
      <c r="C383" s="85"/>
      <c r="D383" s="85"/>
      <c r="E383" s="85"/>
      <c r="F383" s="85"/>
    </row>
    <row r="384">
      <c r="A384" s="85"/>
      <c r="B384" s="85"/>
      <c r="C384" s="85"/>
      <c r="D384" s="85"/>
      <c r="E384" s="85"/>
      <c r="F384" s="85"/>
    </row>
    <row r="385">
      <c r="A385" s="85"/>
      <c r="B385" s="85"/>
      <c r="C385" s="85"/>
      <c r="D385" s="85"/>
      <c r="E385" s="85"/>
      <c r="F385" s="85"/>
    </row>
    <row r="386">
      <c r="A386" s="85"/>
      <c r="B386" s="85"/>
      <c r="C386" s="85"/>
      <c r="D386" s="85"/>
      <c r="E386" s="85"/>
      <c r="F386" s="85"/>
    </row>
    <row r="387">
      <c r="A387" s="85"/>
      <c r="B387" s="85"/>
      <c r="C387" s="85"/>
      <c r="D387" s="85"/>
      <c r="E387" s="85"/>
      <c r="F387" s="85"/>
    </row>
    <row r="388">
      <c r="A388" s="85"/>
      <c r="B388" s="85"/>
      <c r="C388" s="85"/>
      <c r="D388" s="85"/>
      <c r="E388" s="85"/>
      <c r="F388" s="85"/>
    </row>
    <row r="389">
      <c r="A389" s="85"/>
      <c r="B389" s="85"/>
      <c r="C389" s="85"/>
      <c r="D389" s="85"/>
      <c r="E389" s="85"/>
      <c r="F389" s="85"/>
    </row>
    <row r="390">
      <c r="A390" s="85"/>
      <c r="B390" s="85"/>
      <c r="C390" s="85"/>
      <c r="D390" s="85"/>
      <c r="E390" s="85"/>
      <c r="F390" s="85"/>
    </row>
    <row r="391">
      <c r="A391" s="85"/>
      <c r="B391" s="85"/>
      <c r="C391" s="85"/>
      <c r="D391" s="85"/>
      <c r="E391" s="85"/>
      <c r="F391" s="85"/>
    </row>
    <row r="392">
      <c r="A392" s="85"/>
      <c r="B392" s="85"/>
      <c r="C392" s="85"/>
      <c r="D392" s="85"/>
      <c r="E392" s="85"/>
      <c r="F392" s="85"/>
    </row>
    <row r="393">
      <c r="A393" s="85"/>
      <c r="B393" s="85"/>
      <c r="C393" s="85"/>
      <c r="D393" s="85"/>
      <c r="E393" s="85"/>
      <c r="F393" s="85"/>
    </row>
    <row r="394">
      <c r="A394" s="85"/>
      <c r="B394" s="85"/>
      <c r="C394" s="85"/>
      <c r="D394" s="85"/>
      <c r="E394" s="85"/>
      <c r="F394" s="85"/>
    </row>
    <row r="395">
      <c r="A395" s="85"/>
      <c r="B395" s="85"/>
      <c r="C395" s="85"/>
      <c r="D395" s="85"/>
      <c r="E395" s="85"/>
      <c r="F395" s="85"/>
    </row>
    <row r="396">
      <c r="A396" s="85"/>
      <c r="B396" s="85"/>
      <c r="C396" s="85"/>
      <c r="D396" s="85"/>
      <c r="E396" s="85"/>
      <c r="F396" s="85"/>
    </row>
    <row r="397">
      <c r="A397" s="85"/>
      <c r="B397" s="85"/>
      <c r="C397" s="85"/>
      <c r="D397" s="85"/>
      <c r="E397" s="85"/>
      <c r="F397" s="85"/>
    </row>
    <row r="398">
      <c r="A398" s="85"/>
      <c r="B398" s="85"/>
      <c r="C398" s="85"/>
      <c r="D398" s="85"/>
      <c r="E398" s="85"/>
      <c r="F398" s="85"/>
    </row>
    <row r="399">
      <c r="A399" s="85"/>
      <c r="B399" s="85"/>
      <c r="C399" s="85"/>
      <c r="D399" s="85"/>
      <c r="E399" s="85"/>
      <c r="F399" s="85"/>
    </row>
    <row r="400">
      <c r="A400" s="85"/>
      <c r="B400" s="85"/>
      <c r="C400" s="85"/>
      <c r="D400" s="85"/>
      <c r="E400" s="85"/>
      <c r="F400" s="85"/>
    </row>
    <row r="401">
      <c r="A401" s="85"/>
      <c r="B401" s="85"/>
      <c r="C401" s="85"/>
      <c r="D401" s="85"/>
      <c r="E401" s="85"/>
      <c r="F401" s="85"/>
    </row>
    <row r="402">
      <c r="A402" s="85"/>
      <c r="B402" s="85"/>
      <c r="C402" s="85"/>
      <c r="D402" s="85"/>
      <c r="E402" s="85"/>
      <c r="F402" s="85"/>
    </row>
    <row r="403">
      <c r="A403" s="85"/>
      <c r="B403" s="85"/>
      <c r="C403" s="85"/>
      <c r="D403" s="85"/>
      <c r="E403" s="85"/>
      <c r="F403" s="85"/>
    </row>
    <row r="404">
      <c r="A404" s="85"/>
      <c r="B404" s="85"/>
      <c r="C404" s="85"/>
      <c r="D404" s="85"/>
      <c r="E404" s="85"/>
      <c r="F404" s="85"/>
    </row>
    <row r="405">
      <c r="A405" s="85"/>
      <c r="B405" s="85"/>
      <c r="C405" s="85"/>
      <c r="D405" s="85"/>
      <c r="E405" s="85"/>
      <c r="F405" s="85"/>
    </row>
    <row r="406">
      <c r="A406" s="85"/>
      <c r="B406" s="85"/>
      <c r="C406" s="85"/>
      <c r="D406" s="85"/>
      <c r="E406" s="85"/>
      <c r="F406" s="85"/>
    </row>
    <row r="407">
      <c r="A407" s="85"/>
      <c r="B407" s="85"/>
      <c r="C407" s="85"/>
      <c r="D407" s="85"/>
      <c r="E407" s="85"/>
      <c r="F407" s="85"/>
    </row>
    <row r="408">
      <c r="A408" s="85"/>
      <c r="B408" s="85"/>
      <c r="C408" s="85"/>
      <c r="D408" s="85"/>
      <c r="E408" s="85"/>
      <c r="F408" s="85"/>
    </row>
    <row r="409">
      <c r="A409" s="85"/>
      <c r="B409" s="85"/>
      <c r="C409" s="85"/>
      <c r="D409" s="85"/>
      <c r="E409" s="85"/>
      <c r="F409" s="85"/>
    </row>
    <row r="410">
      <c r="A410" s="85"/>
      <c r="B410" s="85"/>
      <c r="C410" s="85"/>
      <c r="D410" s="85"/>
      <c r="E410" s="85"/>
      <c r="F410" s="85"/>
    </row>
    <row r="411">
      <c r="A411" s="85"/>
      <c r="B411" s="85"/>
      <c r="C411" s="85"/>
      <c r="D411" s="85"/>
      <c r="E411" s="85"/>
      <c r="F411" s="85"/>
    </row>
    <row r="412">
      <c r="A412" s="85"/>
      <c r="B412" s="85"/>
      <c r="C412" s="85"/>
      <c r="D412" s="85"/>
      <c r="E412" s="85"/>
      <c r="F412" s="85"/>
    </row>
    <row r="413">
      <c r="A413" s="85"/>
      <c r="B413" s="85"/>
      <c r="C413" s="85"/>
      <c r="D413" s="85"/>
      <c r="E413" s="85"/>
      <c r="F413" s="85"/>
    </row>
    <row r="414">
      <c r="A414" s="85"/>
      <c r="B414" s="85"/>
      <c r="C414" s="85"/>
      <c r="D414" s="85"/>
      <c r="E414" s="85"/>
      <c r="F414" s="85"/>
    </row>
    <row r="415">
      <c r="A415" s="85"/>
      <c r="B415" s="85"/>
      <c r="C415" s="85"/>
      <c r="D415" s="85"/>
      <c r="E415" s="85"/>
      <c r="F415" s="85"/>
    </row>
    <row r="416">
      <c r="A416" s="85"/>
      <c r="B416" s="85"/>
      <c r="C416" s="85"/>
      <c r="D416" s="85"/>
      <c r="E416" s="85"/>
      <c r="F416" s="85"/>
    </row>
    <row r="417">
      <c r="A417" s="85"/>
      <c r="B417" s="85"/>
      <c r="C417" s="85"/>
      <c r="D417" s="85"/>
      <c r="E417" s="85"/>
      <c r="F417" s="85"/>
    </row>
    <row r="418">
      <c r="A418" s="85"/>
      <c r="B418" s="85"/>
      <c r="C418" s="85"/>
      <c r="D418" s="85"/>
      <c r="E418" s="85"/>
      <c r="F418" s="85"/>
    </row>
    <row r="419">
      <c r="A419" s="85"/>
      <c r="B419" s="85"/>
      <c r="C419" s="85"/>
      <c r="D419" s="85"/>
      <c r="E419" s="85"/>
      <c r="F419" s="85"/>
    </row>
    <row r="420">
      <c r="A420" s="85"/>
      <c r="B420" s="85"/>
      <c r="C420" s="85"/>
      <c r="D420" s="85"/>
      <c r="E420" s="85"/>
      <c r="F420" s="85"/>
    </row>
    <row r="421">
      <c r="A421" s="85"/>
      <c r="B421" s="85"/>
      <c r="C421" s="85"/>
      <c r="D421" s="85"/>
      <c r="E421" s="85"/>
      <c r="F421" s="85"/>
    </row>
    <row r="422">
      <c r="A422" s="85"/>
      <c r="B422" s="85"/>
      <c r="C422" s="85"/>
      <c r="D422" s="85"/>
      <c r="E422" s="85"/>
      <c r="F422" s="85"/>
    </row>
    <row r="423">
      <c r="A423" s="85"/>
      <c r="B423" s="85"/>
      <c r="C423" s="85"/>
      <c r="D423" s="85"/>
      <c r="E423" s="85"/>
      <c r="F423" s="85"/>
    </row>
    <row r="424">
      <c r="A424" s="85"/>
      <c r="B424" s="85"/>
      <c r="C424" s="85"/>
      <c r="D424" s="85"/>
      <c r="E424" s="85"/>
      <c r="F424" s="85"/>
    </row>
    <row r="425">
      <c r="A425" s="85"/>
      <c r="B425" s="85"/>
      <c r="C425" s="85"/>
      <c r="D425" s="85"/>
      <c r="E425" s="85"/>
      <c r="F425" s="85"/>
    </row>
    <row r="426">
      <c r="A426" s="85"/>
      <c r="B426" s="85"/>
      <c r="C426" s="85"/>
      <c r="D426" s="85"/>
      <c r="E426" s="85"/>
      <c r="F426" s="85"/>
    </row>
    <row r="427">
      <c r="A427" s="85"/>
      <c r="B427" s="85"/>
      <c r="C427" s="85"/>
      <c r="D427" s="85"/>
      <c r="E427" s="85"/>
      <c r="F427" s="85"/>
    </row>
    <row r="428">
      <c r="A428" s="85"/>
      <c r="B428" s="85"/>
      <c r="C428" s="85"/>
      <c r="D428" s="85"/>
      <c r="E428" s="85"/>
      <c r="F428" s="85"/>
    </row>
    <row r="429">
      <c r="A429" s="85"/>
      <c r="B429" s="85"/>
      <c r="C429" s="85"/>
      <c r="D429" s="85"/>
      <c r="E429" s="85"/>
      <c r="F429" s="85"/>
    </row>
    <row r="430">
      <c r="A430" s="85"/>
      <c r="B430" s="85"/>
      <c r="C430" s="85"/>
      <c r="D430" s="85"/>
      <c r="E430" s="85"/>
      <c r="F430" s="85"/>
    </row>
    <row r="431">
      <c r="A431" s="85"/>
      <c r="B431" s="85"/>
      <c r="C431" s="85"/>
      <c r="D431" s="85"/>
      <c r="E431" s="85"/>
      <c r="F431" s="85"/>
    </row>
    <row r="432">
      <c r="A432" s="85"/>
      <c r="B432" s="85"/>
      <c r="C432" s="85"/>
      <c r="D432" s="85"/>
      <c r="E432" s="85"/>
      <c r="F432" s="85"/>
    </row>
    <row r="433">
      <c r="A433" s="85"/>
      <c r="B433" s="85"/>
      <c r="C433" s="85"/>
      <c r="D433" s="85"/>
      <c r="E433" s="85"/>
      <c r="F433" s="85"/>
    </row>
    <row r="434">
      <c r="A434" s="85"/>
      <c r="B434" s="85"/>
      <c r="C434" s="85"/>
      <c r="D434" s="85"/>
      <c r="E434" s="85"/>
      <c r="F434" s="85"/>
    </row>
    <row r="435">
      <c r="A435" s="85"/>
      <c r="B435" s="85"/>
      <c r="C435" s="85"/>
      <c r="D435" s="85"/>
      <c r="E435" s="85"/>
      <c r="F435" s="85"/>
    </row>
    <row r="436">
      <c r="A436" s="85"/>
      <c r="B436" s="85"/>
      <c r="C436" s="85"/>
      <c r="D436" s="85"/>
      <c r="E436" s="85"/>
      <c r="F436" s="85"/>
    </row>
    <row r="437">
      <c r="A437" s="85"/>
      <c r="B437" s="85"/>
      <c r="C437" s="85"/>
      <c r="D437" s="85"/>
      <c r="E437" s="85"/>
      <c r="F437" s="85"/>
    </row>
    <row r="438">
      <c r="A438" s="85"/>
      <c r="B438" s="85"/>
      <c r="C438" s="85"/>
      <c r="D438" s="85"/>
      <c r="E438" s="85"/>
      <c r="F438" s="85"/>
    </row>
    <row r="439">
      <c r="A439" s="85"/>
      <c r="B439" s="85"/>
      <c r="C439" s="85"/>
      <c r="D439" s="85"/>
      <c r="E439" s="85"/>
      <c r="F439" s="85"/>
    </row>
    <row r="440">
      <c r="A440" s="85"/>
      <c r="B440" s="85"/>
      <c r="C440" s="85"/>
      <c r="D440" s="85"/>
      <c r="E440" s="85"/>
      <c r="F440" s="85"/>
    </row>
    <row r="441">
      <c r="A441" s="85"/>
      <c r="B441" s="85"/>
      <c r="C441" s="85"/>
      <c r="D441" s="85"/>
      <c r="E441" s="85"/>
      <c r="F441" s="85"/>
    </row>
    <row r="442">
      <c r="A442" s="85"/>
      <c r="B442" s="85"/>
      <c r="C442" s="85"/>
      <c r="D442" s="85"/>
      <c r="E442" s="85"/>
      <c r="F442" s="85"/>
    </row>
    <row r="443">
      <c r="A443" s="85"/>
      <c r="B443" s="85"/>
      <c r="C443" s="85"/>
      <c r="D443" s="85"/>
      <c r="E443" s="85"/>
      <c r="F443" s="85"/>
    </row>
    <row r="444">
      <c r="A444" s="85"/>
      <c r="B444" s="85"/>
      <c r="C444" s="85"/>
      <c r="D444" s="85"/>
      <c r="E444" s="85"/>
      <c r="F444" s="85"/>
    </row>
    <row r="445">
      <c r="A445" s="85"/>
      <c r="B445" s="85"/>
      <c r="C445" s="85"/>
      <c r="D445" s="85"/>
      <c r="E445" s="85"/>
      <c r="F445" s="85"/>
    </row>
    <row r="446">
      <c r="A446" s="85"/>
      <c r="B446" s="85"/>
      <c r="C446" s="85"/>
      <c r="D446" s="85"/>
      <c r="E446" s="85"/>
      <c r="F446" s="85"/>
    </row>
    <row r="447">
      <c r="A447" s="85"/>
      <c r="B447" s="85"/>
      <c r="C447" s="85"/>
      <c r="D447" s="85"/>
      <c r="E447" s="85"/>
      <c r="F447" s="85"/>
    </row>
    <row r="448">
      <c r="A448" s="85"/>
      <c r="B448" s="85"/>
      <c r="C448" s="85"/>
      <c r="D448" s="85"/>
      <c r="E448" s="85"/>
      <c r="F448" s="85"/>
    </row>
    <row r="449">
      <c r="A449" s="85"/>
      <c r="B449" s="85"/>
      <c r="C449" s="85"/>
      <c r="D449" s="85"/>
      <c r="E449" s="85"/>
      <c r="F449" s="85"/>
    </row>
    <row r="450">
      <c r="A450" s="85"/>
      <c r="B450" s="85"/>
      <c r="C450" s="85"/>
      <c r="D450" s="85"/>
      <c r="E450" s="85"/>
      <c r="F450" s="85"/>
    </row>
    <row r="451">
      <c r="A451" s="85"/>
      <c r="B451" s="85"/>
      <c r="C451" s="85"/>
      <c r="D451" s="85"/>
      <c r="E451" s="85"/>
      <c r="F451" s="85"/>
    </row>
    <row r="452">
      <c r="A452" s="85"/>
      <c r="B452" s="85"/>
      <c r="C452" s="85"/>
      <c r="D452" s="85"/>
      <c r="E452" s="85"/>
      <c r="F452" s="85"/>
    </row>
    <row r="453">
      <c r="A453" s="85"/>
      <c r="B453" s="85"/>
      <c r="C453" s="85"/>
      <c r="D453" s="85"/>
      <c r="E453" s="85"/>
      <c r="F453" s="85"/>
    </row>
    <row r="454">
      <c r="A454" s="85"/>
      <c r="B454" s="85"/>
      <c r="C454" s="85"/>
      <c r="D454" s="85"/>
      <c r="E454" s="85"/>
      <c r="F454" s="85"/>
    </row>
    <row r="455">
      <c r="A455" s="85"/>
      <c r="B455" s="85"/>
      <c r="C455" s="85"/>
      <c r="D455" s="85"/>
      <c r="E455" s="85"/>
      <c r="F455" s="85"/>
    </row>
    <row r="456">
      <c r="A456" s="85"/>
      <c r="B456" s="85"/>
      <c r="C456" s="85"/>
      <c r="D456" s="85"/>
      <c r="E456" s="85"/>
      <c r="F456" s="85"/>
    </row>
    <row r="457">
      <c r="A457" s="85"/>
      <c r="B457" s="85"/>
      <c r="C457" s="85"/>
      <c r="D457" s="85"/>
      <c r="E457" s="85"/>
      <c r="F457" s="85"/>
    </row>
    <row r="458">
      <c r="A458" s="85"/>
      <c r="B458" s="85"/>
      <c r="C458" s="85"/>
      <c r="D458" s="85"/>
      <c r="E458" s="85"/>
      <c r="F458" s="85"/>
    </row>
    <row r="459">
      <c r="A459" s="85"/>
      <c r="B459" s="85"/>
      <c r="C459" s="85"/>
      <c r="D459" s="85"/>
      <c r="E459" s="85"/>
      <c r="F459" s="85"/>
    </row>
    <row r="460">
      <c r="A460" s="85"/>
      <c r="B460" s="85"/>
      <c r="C460" s="85"/>
      <c r="D460" s="85"/>
      <c r="E460" s="85"/>
      <c r="F460" s="85"/>
    </row>
    <row r="461">
      <c r="A461" s="85"/>
      <c r="B461" s="85"/>
      <c r="C461" s="85"/>
      <c r="D461" s="85"/>
      <c r="E461" s="85"/>
      <c r="F461" s="85"/>
    </row>
    <row r="462">
      <c r="A462" s="85"/>
      <c r="B462" s="85"/>
      <c r="C462" s="85"/>
      <c r="D462" s="85"/>
      <c r="E462" s="85"/>
      <c r="F462" s="85"/>
    </row>
    <row r="463">
      <c r="A463" s="85"/>
      <c r="B463" s="85"/>
      <c r="C463" s="85"/>
      <c r="D463" s="85"/>
      <c r="E463" s="85"/>
      <c r="F463" s="85"/>
    </row>
    <row r="464">
      <c r="A464" s="85"/>
      <c r="B464" s="85"/>
      <c r="C464" s="85"/>
      <c r="D464" s="85"/>
      <c r="E464" s="85"/>
      <c r="F464" s="85"/>
    </row>
    <row r="465">
      <c r="A465" s="85"/>
      <c r="B465" s="85"/>
      <c r="C465" s="85"/>
      <c r="D465" s="85"/>
      <c r="E465" s="85"/>
      <c r="F465" s="85"/>
    </row>
    <row r="466">
      <c r="A466" s="85"/>
      <c r="B466" s="85"/>
      <c r="C466" s="85"/>
      <c r="D466" s="85"/>
      <c r="E466" s="85"/>
      <c r="F466" s="85"/>
    </row>
    <row r="467">
      <c r="A467" s="85"/>
      <c r="B467" s="85"/>
      <c r="C467" s="85"/>
      <c r="D467" s="85"/>
      <c r="E467" s="85"/>
      <c r="F467" s="85"/>
    </row>
    <row r="468">
      <c r="A468" s="85"/>
      <c r="B468" s="85"/>
      <c r="C468" s="85"/>
      <c r="D468" s="85"/>
      <c r="E468" s="85"/>
      <c r="F468" s="85"/>
    </row>
    <row r="469">
      <c r="A469" s="85"/>
      <c r="B469" s="85"/>
      <c r="C469" s="85"/>
      <c r="D469" s="85"/>
      <c r="E469" s="85"/>
      <c r="F469" s="85"/>
    </row>
    <row r="470">
      <c r="A470" s="85"/>
      <c r="B470" s="85"/>
      <c r="C470" s="85"/>
      <c r="D470" s="85"/>
      <c r="E470" s="85"/>
      <c r="F470" s="85"/>
    </row>
    <row r="471">
      <c r="A471" s="85"/>
      <c r="B471" s="85"/>
      <c r="C471" s="85"/>
      <c r="D471" s="85"/>
      <c r="E471" s="85"/>
      <c r="F471" s="85"/>
    </row>
    <row r="472">
      <c r="A472" s="85"/>
      <c r="B472" s="85"/>
      <c r="C472" s="85"/>
      <c r="D472" s="85"/>
      <c r="E472" s="85"/>
      <c r="F472" s="85"/>
    </row>
    <row r="473">
      <c r="A473" s="85"/>
      <c r="B473" s="85"/>
      <c r="C473" s="85"/>
      <c r="D473" s="85"/>
      <c r="E473" s="85"/>
      <c r="F473" s="85"/>
    </row>
    <row r="474">
      <c r="A474" s="85"/>
      <c r="B474" s="85"/>
      <c r="C474" s="85"/>
      <c r="D474" s="85"/>
      <c r="E474" s="85"/>
      <c r="F474" s="85"/>
    </row>
    <row r="475">
      <c r="A475" s="85"/>
      <c r="B475" s="85"/>
      <c r="C475" s="85"/>
      <c r="D475" s="85"/>
      <c r="E475" s="85"/>
      <c r="F475" s="85"/>
    </row>
    <row r="476">
      <c r="A476" s="85"/>
      <c r="B476" s="85"/>
      <c r="C476" s="85"/>
      <c r="D476" s="85"/>
      <c r="E476" s="85"/>
      <c r="F476" s="85"/>
    </row>
    <row r="477">
      <c r="A477" s="85"/>
      <c r="B477" s="85"/>
      <c r="C477" s="85"/>
      <c r="D477" s="85"/>
      <c r="E477" s="85"/>
      <c r="F477" s="85"/>
    </row>
    <row r="478">
      <c r="A478" s="85"/>
      <c r="B478" s="85"/>
      <c r="C478" s="85"/>
      <c r="D478" s="85"/>
      <c r="E478" s="85"/>
      <c r="F478" s="85"/>
    </row>
    <row r="479">
      <c r="A479" s="85"/>
      <c r="B479" s="85"/>
      <c r="C479" s="85"/>
      <c r="D479" s="85"/>
      <c r="E479" s="85"/>
      <c r="F479" s="85"/>
    </row>
    <row r="480">
      <c r="A480" s="85"/>
      <c r="B480" s="85"/>
      <c r="C480" s="85"/>
      <c r="D480" s="85"/>
      <c r="E480" s="85"/>
      <c r="F480" s="85"/>
    </row>
    <row r="481">
      <c r="A481" s="85"/>
      <c r="B481" s="85"/>
      <c r="C481" s="85"/>
      <c r="D481" s="85"/>
      <c r="E481" s="85"/>
      <c r="F481" s="85"/>
    </row>
    <row r="482">
      <c r="A482" s="85"/>
      <c r="B482" s="85"/>
      <c r="C482" s="85"/>
      <c r="D482" s="85"/>
      <c r="E482" s="85"/>
      <c r="F482" s="85"/>
    </row>
    <row r="483">
      <c r="A483" s="85"/>
      <c r="B483" s="85"/>
      <c r="C483" s="85"/>
      <c r="D483" s="85"/>
      <c r="E483" s="85"/>
      <c r="F483" s="85"/>
    </row>
    <row r="484">
      <c r="A484" s="85"/>
      <c r="B484" s="85"/>
      <c r="C484" s="85"/>
      <c r="D484" s="85"/>
      <c r="E484" s="85"/>
      <c r="F484" s="85"/>
    </row>
    <row r="485">
      <c r="A485" s="85"/>
      <c r="B485" s="85"/>
      <c r="C485" s="85"/>
      <c r="D485" s="85"/>
      <c r="E485" s="85"/>
      <c r="F485" s="85"/>
    </row>
    <row r="486">
      <c r="A486" s="85"/>
      <c r="B486" s="85"/>
      <c r="C486" s="85"/>
      <c r="D486" s="85"/>
      <c r="E486" s="85"/>
      <c r="F486" s="85"/>
    </row>
    <row r="487">
      <c r="A487" s="85"/>
      <c r="B487" s="85"/>
      <c r="C487" s="85"/>
      <c r="D487" s="85"/>
      <c r="E487" s="85"/>
      <c r="F487" s="85"/>
    </row>
    <row r="488">
      <c r="A488" s="85"/>
      <c r="B488" s="85"/>
      <c r="C488" s="85"/>
      <c r="D488" s="85"/>
      <c r="E488" s="85"/>
      <c r="F488" s="85"/>
    </row>
    <row r="489">
      <c r="A489" s="85"/>
      <c r="B489" s="85"/>
      <c r="C489" s="85"/>
      <c r="D489" s="85"/>
      <c r="E489" s="85"/>
      <c r="F489" s="85"/>
    </row>
    <row r="490">
      <c r="A490" s="85"/>
      <c r="B490" s="85"/>
      <c r="C490" s="85"/>
      <c r="D490" s="85"/>
      <c r="E490" s="85"/>
      <c r="F490" s="85"/>
    </row>
    <row r="491">
      <c r="A491" s="85"/>
      <c r="B491" s="85"/>
      <c r="C491" s="85"/>
      <c r="D491" s="85"/>
      <c r="E491" s="85"/>
      <c r="F491" s="85"/>
    </row>
    <row r="492">
      <c r="A492" s="85"/>
      <c r="B492" s="85"/>
      <c r="C492" s="85"/>
      <c r="D492" s="85"/>
      <c r="E492" s="85"/>
      <c r="F492" s="85"/>
    </row>
    <row r="493">
      <c r="A493" s="85"/>
      <c r="B493" s="85"/>
      <c r="C493" s="85"/>
      <c r="D493" s="85"/>
      <c r="E493" s="85"/>
      <c r="F493" s="85"/>
    </row>
    <row r="494">
      <c r="A494" s="85"/>
      <c r="B494" s="85"/>
      <c r="C494" s="85"/>
      <c r="D494" s="85"/>
      <c r="E494" s="85"/>
      <c r="F494" s="85"/>
    </row>
    <row r="495">
      <c r="A495" s="85"/>
      <c r="B495" s="85"/>
      <c r="C495" s="85"/>
      <c r="D495" s="85"/>
      <c r="E495" s="85"/>
      <c r="F495" s="85"/>
    </row>
    <row r="496">
      <c r="A496" s="85"/>
      <c r="B496" s="85"/>
      <c r="C496" s="85"/>
      <c r="D496" s="85"/>
      <c r="E496" s="85"/>
      <c r="F496" s="85"/>
    </row>
    <row r="497">
      <c r="A497" s="85"/>
      <c r="B497" s="85"/>
      <c r="C497" s="85"/>
      <c r="D497" s="85"/>
      <c r="E497" s="85"/>
      <c r="F497" s="85"/>
    </row>
    <row r="498">
      <c r="A498" s="85"/>
      <c r="B498" s="85"/>
      <c r="C498" s="85"/>
      <c r="D498" s="85"/>
      <c r="E498" s="85"/>
      <c r="F498" s="85"/>
    </row>
    <row r="499">
      <c r="A499" s="85"/>
      <c r="B499" s="85"/>
      <c r="C499" s="85"/>
      <c r="D499" s="85"/>
      <c r="E499" s="85"/>
      <c r="F499" s="85"/>
    </row>
    <row r="500">
      <c r="A500" s="85"/>
      <c r="B500" s="85"/>
      <c r="C500" s="85"/>
      <c r="D500" s="85"/>
      <c r="E500" s="85"/>
      <c r="F500" s="85"/>
    </row>
    <row r="501">
      <c r="A501" s="85"/>
      <c r="B501" s="85"/>
      <c r="C501" s="85"/>
      <c r="D501" s="85"/>
      <c r="E501" s="85"/>
      <c r="F501" s="85"/>
    </row>
    <row r="502">
      <c r="A502" s="85"/>
      <c r="B502" s="85"/>
      <c r="C502" s="85"/>
      <c r="D502" s="85"/>
      <c r="E502" s="85"/>
      <c r="F502" s="85"/>
    </row>
    <row r="503">
      <c r="A503" s="85"/>
      <c r="B503" s="85"/>
      <c r="C503" s="85"/>
      <c r="D503" s="85"/>
      <c r="E503" s="85"/>
      <c r="F503" s="85"/>
    </row>
    <row r="504">
      <c r="A504" s="85"/>
      <c r="B504" s="85"/>
      <c r="C504" s="85"/>
      <c r="D504" s="85"/>
      <c r="E504" s="85"/>
      <c r="F504" s="85"/>
    </row>
    <row r="505">
      <c r="A505" s="85"/>
      <c r="B505" s="85"/>
      <c r="C505" s="85"/>
      <c r="D505" s="85"/>
      <c r="E505" s="85"/>
      <c r="F505" s="85"/>
    </row>
    <row r="506">
      <c r="A506" s="85"/>
      <c r="B506" s="85"/>
      <c r="C506" s="85"/>
      <c r="D506" s="85"/>
      <c r="E506" s="85"/>
      <c r="F506" s="85"/>
    </row>
    <row r="507">
      <c r="A507" s="85"/>
      <c r="B507" s="85"/>
      <c r="C507" s="85"/>
      <c r="D507" s="85"/>
      <c r="E507" s="85"/>
      <c r="F507" s="85"/>
    </row>
    <row r="508">
      <c r="A508" s="85"/>
      <c r="B508" s="85"/>
      <c r="C508" s="85"/>
      <c r="D508" s="85"/>
      <c r="E508" s="85"/>
      <c r="F508" s="85"/>
    </row>
    <row r="509">
      <c r="A509" s="85"/>
      <c r="B509" s="85"/>
      <c r="C509" s="85"/>
      <c r="D509" s="85"/>
      <c r="E509" s="85"/>
      <c r="F509" s="85"/>
    </row>
    <row r="510">
      <c r="A510" s="85"/>
      <c r="B510" s="85"/>
      <c r="C510" s="85"/>
      <c r="D510" s="85"/>
      <c r="E510" s="85"/>
      <c r="F510" s="85"/>
    </row>
    <row r="511">
      <c r="A511" s="85"/>
      <c r="B511" s="85"/>
      <c r="C511" s="85"/>
      <c r="D511" s="85"/>
      <c r="E511" s="85"/>
      <c r="F511" s="85"/>
    </row>
    <row r="512">
      <c r="A512" s="85"/>
      <c r="B512" s="85"/>
      <c r="C512" s="85"/>
      <c r="D512" s="85"/>
      <c r="E512" s="85"/>
      <c r="F512" s="85"/>
    </row>
    <row r="513">
      <c r="A513" s="85"/>
      <c r="B513" s="85"/>
      <c r="C513" s="85"/>
      <c r="D513" s="85"/>
      <c r="E513" s="85"/>
      <c r="F513" s="85"/>
    </row>
    <row r="514">
      <c r="A514" s="85"/>
      <c r="B514" s="85"/>
      <c r="C514" s="85"/>
      <c r="D514" s="85"/>
      <c r="E514" s="85"/>
      <c r="F514" s="85"/>
    </row>
    <row r="515">
      <c r="A515" s="85"/>
      <c r="B515" s="85"/>
      <c r="C515" s="85"/>
      <c r="D515" s="85"/>
      <c r="E515" s="85"/>
      <c r="F515" s="85"/>
    </row>
    <row r="516">
      <c r="A516" s="85"/>
      <c r="B516" s="85"/>
      <c r="C516" s="85"/>
      <c r="D516" s="85"/>
      <c r="E516" s="85"/>
      <c r="F516" s="85"/>
    </row>
    <row r="517">
      <c r="A517" s="85"/>
      <c r="B517" s="85"/>
      <c r="C517" s="85"/>
      <c r="D517" s="85"/>
      <c r="E517" s="85"/>
      <c r="F517" s="85"/>
    </row>
    <row r="518">
      <c r="A518" s="85"/>
      <c r="B518" s="85"/>
      <c r="C518" s="85"/>
      <c r="D518" s="85"/>
      <c r="E518" s="85"/>
      <c r="F518" s="85"/>
    </row>
    <row r="519">
      <c r="A519" s="85"/>
      <c r="B519" s="85"/>
      <c r="C519" s="85"/>
      <c r="D519" s="85"/>
      <c r="E519" s="85"/>
      <c r="F519" s="85"/>
    </row>
    <row r="520">
      <c r="A520" s="85"/>
      <c r="B520" s="85"/>
      <c r="C520" s="85"/>
      <c r="D520" s="85"/>
      <c r="E520" s="85"/>
      <c r="F520" s="85"/>
    </row>
    <row r="521">
      <c r="A521" s="85"/>
      <c r="B521" s="85"/>
      <c r="C521" s="85"/>
      <c r="D521" s="85"/>
      <c r="E521" s="85"/>
      <c r="F521" s="85"/>
    </row>
    <row r="522">
      <c r="A522" s="85"/>
      <c r="B522" s="85"/>
      <c r="C522" s="85"/>
      <c r="D522" s="85"/>
      <c r="E522" s="85"/>
      <c r="F522" s="85"/>
    </row>
    <row r="523">
      <c r="A523" s="85"/>
      <c r="B523" s="85"/>
      <c r="C523" s="85"/>
      <c r="D523" s="85"/>
      <c r="E523" s="85"/>
      <c r="F523" s="85"/>
    </row>
    <row r="524">
      <c r="A524" s="85"/>
      <c r="B524" s="85"/>
      <c r="C524" s="85"/>
      <c r="D524" s="85"/>
      <c r="E524" s="85"/>
      <c r="F524" s="85"/>
    </row>
    <row r="525">
      <c r="A525" s="85"/>
      <c r="B525" s="85"/>
      <c r="C525" s="85"/>
      <c r="D525" s="85"/>
      <c r="E525" s="85"/>
      <c r="F525" s="85"/>
    </row>
    <row r="526">
      <c r="A526" s="85"/>
      <c r="B526" s="85"/>
      <c r="C526" s="85"/>
      <c r="D526" s="85"/>
      <c r="E526" s="85"/>
      <c r="F526" s="85"/>
    </row>
    <row r="527">
      <c r="A527" s="85"/>
      <c r="B527" s="85"/>
      <c r="C527" s="85"/>
      <c r="D527" s="85"/>
      <c r="E527" s="85"/>
      <c r="F527" s="85"/>
    </row>
    <row r="528">
      <c r="A528" s="85"/>
      <c r="B528" s="85"/>
      <c r="C528" s="85"/>
      <c r="D528" s="85"/>
      <c r="E528" s="85"/>
      <c r="F528" s="85"/>
    </row>
    <row r="529">
      <c r="A529" s="85"/>
      <c r="B529" s="85"/>
      <c r="C529" s="85"/>
      <c r="D529" s="85"/>
      <c r="E529" s="85"/>
      <c r="F529" s="85"/>
    </row>
    <row r="530">
      <c r="A530" s="85"/>
      <c r="B530" s="85"/>
      <c r="C530" s="85"/>
      <c r="D530" s="85"/>
      <c r="E530" s="85"/>
      <c r="F530" s="85"/>
    </row>
    <row r="531">
      <c r="A531" s="85"/>
      <c r="B531" s="85"/>
      <c r="C531" s="85"/>
      <c r="D531" s="85"/>
      <c r="E531" s="85"/>
      <c r="F531" s="85"/>
    </row>
    <row r="532">
      <c r="A532" s="85"/>
      <c r="B532" s="85"/>
      <c r="C532" s="85"/>
      <c r="D532" s="85"/>
      <c r="E532" s="85"/>
      <c r="F532" s="85"/>
    </row>
    <row r="533">
      <c r="A533" s="85"/>
      <c r="B533" s="85"/>
      <c r="C533" s="85"/>
      <c r="D533" s="85"/>
      <c r="E533" s="85"/>
      <c r="F533" s="85"/>
    </row>
    <row r="534">
      <c r="A534" s="85"/>
      <c r="B534" s="85"/>
      <c r="C534" s="85"/>
      <c r="D534" s="85"/>
      <c r="E534" s="85"/>
      <c r="F534" s="85"/>
    </row>
    <row r="535">
      <c r="A535" s="85"/>
      <c r="B535" s="85"/>
      <c r="C535" s="85"/>
      <c r="D535" s="85"/>
      <c r="E535" s="85"/>
      <c r="F535" s="85"/>
    </row>
    <row r="536">
      <c r="A536" s="85"/>
      <c r="B536" s="85"/>
      <c r="C536" s="85"/>
      <c r="D536" s="85"/>
      <c r="E536" s="85"/>
      <c r="F536" s="85"/>
    </row>
    <row r="537">
      <c r="A537" s="85"/>
      <c r="B537" s="85"/>
      <c r="C537" s="85"/>
      <c r="D537" s="85"/>
      <c r="E537" s="85"/>
      <c r="F537" s="85"/>
    </row>
    <row r="538">
      <c r="A538" s="85"/>
      <c r="B538" s="85"/>
      <c r="C538" s="85"/>
      <c r="D538" s="85"/>
      <c r="E538" s="85"/>
      <c r="F538" s="85"/>
    </row>
    <row r="539">
      <c r="A539" s="85"/>
      <c r="B539" s="85"/>
      <c r="C539" s="85"/>
      <c r="D539" s="85"/>
      <c r="E539" s="85"/>
      <c r="F539" s="85"/>
    </row>
    <row r="540">
      <c r="A540" s="85"/>
      <c r="B540" s="85"/>
      <c r="C540" s="85"/>
      <c r="D540" s="85"/>
      <c r="E540" s="85"/>
      <c r="F540" s="85"/>
    </row>
    <row r="541">
      <c r="A541" s="85"/>
      <c r="B541" s="85"/>
      <c r="C541" s="85"/>
      <c r="D541" s="85"/>
      <c r="E541" s="85"/>
      <c r="F541" s="85"/>
    </row>
    <row r="542">
      <c r="A542" s="85"/>
      <c r="B542" s="85"/>
      <c r="C542" s="85"/>
      <c r="D542" s="85"/>
      <c r="E542" s="85"/>
      <c r="F542" s="85"/>
    </row>
    <row r="543">
      <c r="A543" s="85"/>
      <c r="B543" s="85"/>
      <c r="C543" s="85"/>
      <c r="D543" s="85"/>
      <c r="E543" s="85"/>
      <c r="F543" s="85"/>
    </row>
    <row r="544">
      <c r="A544" s="85"/>
      <c r="B544" s="85"/>
      <c r="C544" s="85"/>
      <c r="D544" s="85"/>
      <c r="E544" s="85"/>
      <c r="F544" s="85"/>
    </row>
    <row r="545">
      <c r="A545" s="85"/>
      <c r="B545" s="85"/>
      <c r="C545" s="85"/>
      <c r="D545" s="85"/>
      <c r="E545" s="85"/>
      <c r="F545" s="85"/>
    </row>
    <row r="546">
      <c r="A546" s="85"/>
      <c r="B546" s="85"/>
      <c r="C546" s="85"/>
      <c r="D546" s="85"/>
      <c r="E546" s="85"/>
      <c r="F546" s="85"/>
    </row>
    <row r="547">
      <c r="A547" s="85"/>
      <c r="B547" s="85"/>
      <c r="C547" s="85"/>
      <c r="D547" s="85"/>
      <c r="E547" s="85"/>
      <c r="F547" s="85"/>
    </row>
    <row r="548">
      <c r="A548" s="85"/>
      <c r="B548" s="85"/>
      <c r="C548" s="85"/>
      <c r="D548" s="85"/>
      <c r="E548" s="85"/>
      <c r="F548" s="85"/>
    </row>
    <row r="549">
      <c r="A549" s="85"/>
      <c r="B549" s="85"/>
      <c r="C549" s="85"/>
      <c r="D549" s="85"/>
      <c r="E549" s="85"/>
      <c r="F549" s="85"/>
    </row>
    <row r="550">
      <c r="A550" s="85"/>
      <c r="B550" s="85"/>
      <c r="C550" s="85"/>
      <c r="D550" s="85"/>
      <c r="E550" s="85"/>
      <c r="F550" s="85"/>
    </row>
    <row r="551">
      <c r="A551" s="85"/>
      <c r="B551" s="85"/>
      <c r="C551" s="85"/>
      <c r="D551" s="85"/>
      <c r="E551" s="85"/>
      <c r="F551" s="85"/>
    </row>
    <row r="552">
      <c r="A552" s="85"/>
      <c r="B552" s="85"/>
      <c r="C552" s="85"/>
      <c r="D552" s="85"/>
      <c r="E552" s="85"/>
      <c r="F552" s="85"/>
    </row>
    <row r="553">
      <c r="A553" s="85"/>
      <c r="B553" s="85"/>
      <c r="C553" s="85"/>
      <c r="D553" s="85"/>
      <c r="E553" s="85"/>
      <c r="F553" s="85"/>
    </row>
    <row r="554">
      <c r="A554" s="85"/>
      <c r="B554" s="85"/>
      <c r="C554" s="85"/>
      <c r="D554" s="85"/>
      <c r="E554" s="85"/>
      <c r="F554" s="85"/>
    </row>
    <row r="555">
      <c r="A555" s="85"/>
      <c r="B555" s="85"/>
      <c r="C555" s="85"/>
      <c r="D555" s="85"/>
      <c r="E555" s="85"/>
      <c r="F555" s="85"/>
    </row>
    <row r="556">
      <c r="A556" s="85"/>
      <c r="B556" s="85"/>
      <c r="C556" s="85"/>
      <c r="D556" s="85"/>
      <c r="E556" s="85"/>
      <c r="F556" s="85"/>
    </row>
    <row r="557">
      <c r="A557" s="85"/>
      <c r="B557" s="85"/>
      <c r="C557" s="85"/>
      <c r="D557" s="85"/>
      <c r="E557" s="85"/>
      <c r="F557" s="85"/>
    </row>
    <row r="558">
      <c r="A558" s="85"/>
      <c r="B558" s="85"/>
      <c r="C558" s="85"/>
      <c r="D558" s="85"/>
      <c r="E558" s="85"/>
      <c r="F558" s="85"/>
    </row>
    <row r="559">
      <c r="A559" s="85"/>
      <c r="B559" s="85"/>
      <c r="C559" s="85"/>
      <c r="D559" s="85"/>
      <c r="E559" s="85"/>
      <c r="F559" s="85"/>
    </row>
    <row r="560">
      <c r="A560" s="85"/>
      <c r="B560" s="85"/>
      <c r="C560" s="85"/>
      <c r="D560" s="85"/>
      <c r="E560" s="85"/>
      <c r="F560" s="85"/>
    </row>
    <row r="561">
      <c r="A561" s="85"/>
      <c r="B561" s="85"/>
      <c r="C561" s="85"/>
      <c r="D561" s="85"/>
      <c r="E561" s="85"/>
      <c r="F561" s="85"/>
    </row>
    <row r="562">
      <c r="A562" s="85"/>
      <c r="B562" s="85"/>
      <c r="C562" s="85"/>
      <c r="D562" s="85"/>
      <c r="E562" s="85"/>
      <c r="F562" s="85"/>
    </row>
    <row r="563">
      <c r="A563" s="85"/>
      <c r="B563" s="85"/>
      <c r="C563" s="85"/>
      <c r="D563" s="85"/>
      <c r="E563" s="85"/>
      <c r="F563" s="85"/>
    </row>
    <row r="564">
      <c r="A564" s="85"/>
      <c r="B564" s="85"/>
      <c r="C564" s="85"/>
      <c r="D564" s="85"/>
      <c r="E564" s="85"/>
      <c r="F564" s="85"/>
    </row>
    <row r="565">
      <c r="A565" s="85"/>
      <c r="B565" s="85"/>
      <c r="C565" s="85"/>
      <c r="D565" s="85"/>
      <c r="E565" s="85"/>
      <c r="F565" s="85"/>
    </row>
    <row r="566">
      <c r="A566" s="85"/>
      <c r="B566" s="85"/>
      <c r="C566" s="85"/>
      <c r="D566" s="85"/>
      <c r="E566" s="85"/>
      <c r="F566" s="85"/>
    </row>
    <row r="567">
      <c r="A567" s="85"/>
      <c r="B567" s="85"/>
      <c r="C567" s="85"/>
      <c r="D567" s="85"/>
      <c r="E567" s="85"/>
      <c r="F567" s="85"/>
    </row>
    <row r="568">
      <c r="A568" s="85"/>
      <c r="B568" s="85"/>
      <c r="C568" s="85"/>
      <c r="D568" s="85"/>
      <c r="E568" s="85"/>
      <c r="F568" s="85"/>
    </row>
    <row r="569">
      <c r="A569" s="85"/>
      <c r="B569" s="85"/>
      <c r="C569" s="85"/>
      <c r="D569" s="85"/>
      <c r="E569" s="85"/>
      <c r="F569" s="85"/>
    </row>
    <row r="570">
      <c r="A570" s="85"/>
      <c r="B570" s="85"/>
      <c r="C570" s="85"/>
      <c r="D570" s="85"/>
      <c r="E570" s="85"/>
      <c r="F570" s="85"/>
    </row>
    <row r="571">
      <c r="A571" s="85"/>
      <c r="B571" s="85"/>
      <c r="C571" s="85"/>
      <c r="D571" s="85"/>
      <c r="E571" s="85"/>
      <c r="F571" s="85"/>
    </row>
    <row r="572">
      <c r="A572" s="85"/>
      <c r="B572" s="85"/>
      <c r="C572" s="85"/>
      <c r="D572" s="85"/>
      <c r="E572" s="85"/>
      <c r="F572" s="85"/>
    </row>
    <row r="573">
      <c r="A573" s="85"/>
      <c r="B573" s="85"/>
      <c r="C573" s="85"/>
      <c r="D573" s="85"/>
      <c r="E573" s="85"/>
      <c r="F573" s="85"/>
    </row>
    <row r="574">
      <c r="A574" s="85"/>
      <c r="B574" s="85"/>
      <c r="C574" s="85"/>
      <c r="D574" s="85"/>
      <c r="E574" s="85"/>
      <c r="F574" s="85"/>
    </row>
    <row r="575">
      <c r="A575" s="85"/>
      <c r="B575" s="85"/>
      <c r="C575" s="85"/>
      <c r="D575" s="85"/>
      <c r="E575" s="85"/>
      <c r="F575" s="85"/>
    </row>
    <row r="576">
      <c r="A576" s="85"/>
      <c r="B576" s="85"/>
      <c r="C576" s="85"/>
      <c r="D576" s="85"/>
      <c r="E576" s="85"/>
      <c r="F576" s="85"/>
    </row>
    <row r="577">
      <c r="A577" s="85"/>
      <c r="B577" s="85"/>
      <c r="C577" s="85"/>
      <c r="D577" s="85"/>
      <c r="E577" s="85"/>
      <c r="F577" s="85"/>
    </row>
    <row r="578">
      <c r="A578" s="85"/>
      <c r="B578" s="85"/>
      <c r="C578" s="85"/>
      <c r="D578" s="85"/>
      <c r="E578" s="85"/>
      <c r="F578" s="85"/>
    </row>
    <row r="579">
      <c r="A579" s="85"/>
      <c r="B579" s="85"/>
      <c r="C579" s="85"/>
      <c r="D579" s="85"/>
      <c r="E579" s="85"/>
      <c r="F579" s="85"/>
    </row>
    <row r="580">
      <c r="A580" s="85"/>
      <c r="B580" s="85"/>
      <c r="C580" s="85"/>
      <c r="D580" s="85"/>
      <c r="E580" s="85"/>
      <c r="F580" s="85"/>
    </row>
    <row r="581">
      <c r="A581" s="85"/>
      <c r="B581" s="85"/>
      <c r="C581" s="85"/>
      <c r="D581" s="85"/>
      <c r="E581" s="85"/>
      <c r="F581" s="85"/>
    </row>
    <row r="582">
      <c r="A582" s="85"/>
      <c r="B582" s="85"/>
      <c r="C582" s="85"/>
      <c r="D582" s="85"/>
      <c r="E582" s="85"/>
      <c r="F582" s="85"/>
    </row>
    <row r="583">
      <c r="A583" s="85"/>
      <c r="B583" s="85"/>
      <c r="C583" s="85"/>
      <c r="D583" s="85"/>
      <c r="E583" s="85"/>
      <c r="F583" s="85"/>
    </row>
    <row r="584">
      <c r="A584" s="85"/>
      <c r="B584" s="85"/>
      <c r="C584" s="85"/>
      <c r="D584" s="85"/>
      <c r="E584" s="85"/>
      <c r="F584" s="85"/>
    </row>
    <row r="585">
      <c r="A585" s="85"/>
      <c r="B585" s="85"/>
      <c r="C585" s="85"/>
      <c r="D585" s="85"/>
      <c r="E585" s="85"/>
      <c r="F585" s="85"/>
    </row>
    <row r="586">
      <c r="A586" s="85"/>
      <c r="B586" s="85"/>
      <c r="C586" s="85"/>
      <c r="D586" s="85"/>
      <c r="E586" s="85"/>
      <c r="F586" s="85"/>
    </row>
    <row r="587">
      <c r="A587" s="85"/>
      <c r="B587" s="85"/>
      <c r="C587" s="85"/>
      <c r="D587" s="85"/>
      <c r="E587" s="85"/>
      <c r="F587" s="85"/>
    </row>
    <row r="588">
      <c r="A588" s="85"/>
      <c r="B588" s="85"/>
      <c r="C588" s="85"/>
      <c r="D588" s="85"/>
      <c r="E588" s="85"/>
      <c r="F588" s="85"/>
    </row>
    <row r="589">
      <c r="A589" s="85"/>
      <c r="B589" s="85"/>
      <c r="C589" s="85"/>
      <c r="D589" s="85"/>
      <c r="E589" s="85"/>
      <c r="F589" s="85"/>
    </row>
    <row r="590">
      <c r="A590" s="85"/>
      <c r="B590" s="85"/>
      <c r="C590" s="85"/>
      <c r="D590" s="85"/>
      <c r="E590" s="85"/>
      <c r="F590" s="85"/>
    </row>
    <row r="591">
      <c r="A591" s="85"/>
      <c r="B591" s="85"/>
      <c r="C591" s="85"/>
      <c r="D591" s="85"/>
      <c r="E591" s="85"/>
      <c r="F591" s="85"/>
    </row>
    <row r="592">
      <c r="A592" s="85"/>
      <c r="B592" s="85"/>
      <c r="C592" s="85"/>
      <c r="D592" s="85"/>
      <c r="E592" s="85"/>
      <c r="F592" s="85"/>
    </row>
    <row r="593">
      <c r="A593" s="85"/>
      <c r="B593" s="85"/>
      <c r="C593" s="85"/>
      <c r="D593" s="85"/>
      <c r="E593" s="85"/>
      <c r="F593" s="85"/>
    </row>
    <row r="594">
      <c r="A594" s="85"/>
      <c r="B594" s="85"/>
      <c r="C594" s="85"/>
      <c r="D594" s="85"/>
      <c r="E594" s="85"/>
      <c r="F594" s="85"/>
    </row>
    <row r="595">
      <c r="A595" s="85"/>
      <c r="B595" s="85"/>
      <c r="C595" s="85"/>
      <c r="D595" s="85"/>
      <c r="E595" s="85"/>
      <c r="F595" s="85"/>
    </row>
    <row r="596">
      <c r="A596" s="85"/>
      <c r="B596" s="85"/>
      <c r="C596" s="85"/>
      <c r="D596" s="85"/>
      <c r="E596" s="85"/>
      <c r="F596" s="85"/>
    </row>
    <row r="597">
      <c r="A597" s="85"/>
      <c r="B597" s="85"/>
      <c r="C597" s="85"/>
      <c r="D597" s="85"/>
      <c r="E597" s="85"/>
      <c r="F597" s="85"/>
    </row>
    <row r="598">
      <c r="A598" s="85"/>
      <c r="B598" s="85"/>
      <c r="C598" s="85"/>
      <c r="D598" s="85"/>
      <c r="E598" s="85"/>
      <c r="F598" s="85"/>
    </row>
    <row r="599">
      <c r="A599" s="85"/>
      <c r="B599" s="85"/>
      <c r="C599" s="85"/>
      <c r="D599" s="85"/>
      <c r="E599" s="85"/>
      <c r="F599" s="85"/>
    </row>
    <row r="600">
      <c r="A600" s="85"/>
      <c r="B600" s="85"/>
      <c r="C600" s="85"/>
      <c r="D600" s="85"/>
      <c r="E600" s="85"/>
      <c r="F600" s="85"/>
    </row>
    <row r="601">
      <c r="A601" s="85"/>
      <c r="B601" s="85"/>
      <c r="C601" s="85"/>
      <c r="D601" s="85"/>
      <c r="E601" s="85"/>
      <c r="F601" s="85"/>
    </row>
    <row r="602">
      <c r="A602" s="85"/>
      <c r="B602" s="85"/>
      <c r="C602" s="85"/>
      <c r="D602" s="85"/>
      <c r="E602" s="85"/>
      <c r="F602" s="85"/>
    </row>
    <row r="603">
      <c r="A603" s="85"/>
      <c r="B603" s="85"/>
      <c r="C603" s="85"/>
      <c r="D603" s="85"/>
      <c r="E603" s="85"/>
      <c r="F603" s="85"/>
    </row>
    <row r="604">
      <c r="A604" s="85"/>
      <c r="B604" s="85"/>
      <c r="C604" s="85"/>
      <c r="D604" s="85"/>
      <c r="E604" s="85"/>
      <c r="F604" s="85"/>
    </row>
    <row r="605">
      <c r="A605" s="85"/>
      <c r="B605" s="85"/>
      <c r="C605" s="85"/>
      <c r="D605" s="85"/>
      <c r="E605" s="85"/>
      <c r="F605" s="85"/>
    </row>
    <row r="606">
      <c r="A606" s="85"/>
      <c r="B606" s="85"/>
      <c r="C606" s="85"/>
      <c r="D606" s="85"/>
      <c r="E606" s="85"/>
      <c r="F606" s="85"/>
    </row>
    <row r="607">
      <c r="A607" s="85"/>
      <c r="B607" s="85"/>
      <c r="C607" s="85"/>
      <c r="D607" s="85"/>
      <c r="E607" s="85"/>
      <c r="F607" s="85"/>
    </row>
    <row r="608">
      <c r="A608" s="85"/>
      <c r="B608" s="85"/>
      <c r="C608" s="85"/>
      <c r="D608" s="85"/>
      <c r="E608" s="85"/>
      <c r="F608" s="85"/>
    </row>
    <row r="609">
      <c r="A609" s="85"/>
      <c r="B609" s="85"/>
      <c r="C609" s="85"/>
      <c r="D609" s="85"/>
      <c r="E609" s="85"/>
      <c r="F609" s="85"/>
    </row>
    <row r="610">
      <c r="A610" s="85"/>
      <c r="B610" s="85"/>
      <c r="C610" s="85"/>
      <c r="D610" s="85"/>
      <c r="E610" s="85"/>
      <c r="F610" s="85"/>
    </row>
    <row r="611">
      <c r="A611" s="85"/>
      <c r="B611" s="85"/>
      <c r="C611" s="85"/>
      <c r="D611" s="85"/>
      <c r="E611" s="85"/>
      <c r="F611" s="85"/>
    </row>
    <row r="612">
      <c r="A612" s="85"/>
      <c r="B612" s="85"/>
      <c r="C612" s="85"/>
      <c r="D612" s="85"/>
      <c r="E612" s="85"/>
      <c r="F612" s="85"/>
    </row>
    <row r="613">
      <c r="A613" s="85"/>
      <c r="B613" s="85"/>
      <c r="C613" s="85"/>
      <c r="D613" s="85"/>
      <c r="E613" s="85"/>
      <c r="F613" s="85"/>
    </row>
    <row r="614">
      <c r="A614" s="85"/>
      <c r="B614" s="85"/>
      <c r="C614" s="85"/>
      <c r="D614" s="85"/>
      <c r="E614" s="85"/>
      <c r="F614" s="85"/>
    </row>
    <row r="615">
      <c r="A615" s="85"/>
      <c r="B615" s="85"/>
      <c r="C615" s="85"/>
      <c r="D615" s="85"/>
      <c r="E615" s="85"/>
      <c r="F615" s="85"/>
    </row>
    <row r="616">
      <c r="A616" s="85"/>
      <c r="B616" s="85"/>
      <c r="C616" s="85"/>
      <c r="D616" s="85"/>
      <c r="E616" s="85"/>
      <c r="F616" s="85"/>
    </row>
    <row r="617">
      <c r="A617" s="85"/>
      <c r="B617" s="85"/>
      <c r="C617" s="85"/>
      <c r="D617" s="85"/>
      <c r="E617" s="85"/>
      <c r="F617" s="85"/>
    </row>
    <row r="618">
      <c r="A618" s="85"/>
      <c r="B618" s="85"/>
      <c r="C618" s="85"/>
      <c r="D618" s="85"/>
      <c r="E618" s="85"/>
      <c r="F618" s="85"/>
    </row>
    <row r="619">
      <c r="A619" s="85"/>
      <c r="B619" s="85"/>
      <c r="C619" s="85"/>
      <c r="D619" s="85"/>
      <c r="E619" s="85"/>
      <c r="F619" s="85"/>
    </row>
    <row r="620">
      <c r="A620" s="85"/>
      <c r="B620" s="85"/>
      <c r="C620" s="85"/>
      <c r="D620" s="85"/>
      <c r="E620" s="85"/>
      <c r="F620" s="85"/>
    </row>
    <row r="621">
      <c r="A621" s="85"/>
      <c r="B621" s="85"/>
      <c r="C621" s="85"/>
      <c r="D621" s="85"/>
      <c r="E621" s="85"/>
      <c r="F621" s="85"/>
    </row>
    <row r="622">
      <c r="A622" s="85"/>
      <c r="B622" s="85"/>
      <c r="C622" s="85"/>
      <c r="D622" s="85"/>
      <c r="E622" s="85"/>
      <c r="F622" s="85"/>
    </row>
    <row r="623">
      <c r="A623" s="85"/>
      <c r="B623" s="85"/>
      <c r="C623" s="85"/>
      <c r="D623" s="85"/>
      <c r="E623" s="85"/>
      <c r="F623" s="85"/>
    </row>
    <row r="624">
      <c r="A624" s="85"/>
      <c r="B624" s="85"/>
      <c r="C624" s="85"/>
      <c r="D624" s="85"/>
      <c r="E624" s="85"/>
      <c r="F624" s="85"/>
    </row>
    <row r="625">
      <c r="A625" s="85"/>
      <c r="B625" s="85"/>
      <c r="C625" s="85"/>
      <c r="D625" s="85"/>
      <c r="E625" s="85"/>
      <c r="F625" s="85"/>
    </row>
    <row r="626">
      <c r="A626" s="85"/>
      <c r="B626" s="85"/>
      <c r="C626" s="85"/>
      <c r="D626" s="85"/>
      <c r="E626" s="85"/>
      <c r="F626" s="85"/>
    </row>
    <row r="627">
      <c r="A627" s="85"/>
      <c r="B627" s="85"/>
      <c r="C627" s="85"/>
      <c r="D627" s="85"/>
      <c r="E627" s="85"/>
      <c r="F627" s="85"/>
    </row>
    <row r="628">
      <c r="A628" s="85"/>
      <c r="B628" s="85"/>
      <c r="C628" s="85"/>
      <c r="D628" s="85"/>
      <c r="E628" s="85"/>
      <c r="F628" s="85"/>
    </row>
    <row r="629">
      <c r="A629" s="85"/>
      <c r="B629" s="85"/>
      <c r="C629" s="85"/>
      <c r="D629" s="85"/>
      <c r="E629" s="85"/>
      <c r="F629" s="85"/>
    </row>
    <row r="630">
      <c r="A630" s="85"/>
      <c r="B630" s="85"/>
      <c r="C630" s="85"/>
      <c r="D630" s="85"/>
      <c r="E630" s="85"/>
      <c r="F630" s="85"/>
    </row>
    <row r="631">
      <c r="A631" s="85"/>
      <c r="B631" s="85"/>
      <c r="C631" s="85"/>
      <c r="D631" s="85"/>
      <c r="E631" s="85"/>
      <c r="F631" s="85"/>
    </row>
    <row r="632">
      <c r="A632" s="85"/>
      <c r="B632" s="85"/>
      <c r="C632" s="85"/>
      <c r="D632" s="85"/>
      <c r="E632" s="85"/>
      <c r="F632" s="85"/>
    </row>
    <row r="633">
      <c r="A633" s="85"/>
      <c r="B633" s="85"/>
      <c r="C633" s="85"/>
      <c r="D633" s="85"/>
      <c r="E633" s="85"/>
      <c r="F633" s="85"/>
    </row>
    <row r="634">
      <c r="A634" s="85"/>
      <c r="B634" s="85"/>
      <c r="C634" s="85"/>
      <c r="D634" s="85"/>
      <c r="E634" s="85"/>
      <c r="F634" s="85"/>
    </row>
    <row r="635">
      <c r="A635" s="85"/>
      <c r="B635" s="85"/>
      <c r="C635" s="85"/>
      <c r="D635" s="85"/>
      <c r="E635" s="85"/>
      <c r="F635" s="85"/>
    </row>
    <row r="636">
      <c r="A636" s="85"/>
      <c r="B636" s="85"/>
      <c r="C636" s="85"/>
      <c r="D636" s="85"/>
      <c r="E636" s="85"/>
      <c r="F636" s="85"/>
    </row>
    <row r="637">
      <c r="A637" s="85"/>
      <c r="B637" s="85"/>
      <c r="C637" s="85"/>
      <c r="D637" s="85"/>
      <c r="E637" s="85"/>
      <c r="F637" s="85"/>
    </row>
    <row r="638">
      <c r="A638" s="85"/>
      <c r="B638" s="85"/>
      <c r="C638" s="85"/>
      <c r="D638" s="85"/>
      <c r="E638" s="85"/>
      <c r="F638" s="85"/>
    </row>
    <row r="639">
      <c r="A639" s="85"/>
      <c r="B639" s="85"/>
      <c r="C639" s="85"/>
      <c r="D639" s="85"/>
      <c r="E639" s="85"/>
      <c r="F639" s="85"/>
    </row>
    <row r="640">
      <c r="A640" s="85"/>
      <c r="B640" s="85"/>
      <c r="C640" s="85"/>
      <c r="D640" s="85"/>
      <c r="E640" s="85"/>
      <c r="F640" s="85"/>
    </row>
    <row r="641">
      <c r="A641" s="85"/>
      <c r="B641" s="85"/>
      <c r="C641" s="85"/>
      <c r="D641" s="85"/>
      <c r="E641" s="85"/>
      <c r="F641" s="85"/>
    </row>
    <row r="642">
      <c r="A642" s="85"/>
      <c r="B642" s="85"/>
      <c r="C642" s="85"/>
      <c r="D642" s="85"/>
      <c r="E642" s="85"/>
      <c r="F642" s="85"/>
    </row>
    <row r="643">
      <c r="A643" s="85"/>
      <c r="B643" s="85"/>
      <c r="C643" s="85"/>
      <c r="D643" s="85"/>
      <c r="E643" s="85"/>
      <c r="F643" s="85"/>
    </row>
    <row r="644">
      <c r="A644" s="85"/>
      <c r="B644" s="85"/>
      <c r="C644" s="85"/>
      <c r="D644" s="85"/>
      <c r="E644" s="85"/>
      <c r="F644" s="85"/>
    </row>
    <row r="645">
      <c r="A645" s="85"/>
      <c r="B645" s="85"/>
      <c r="C645" s="85"/>
      <c r="D645" s="85"/>
      <c r="E645" s="85"/>
      <c r="F645" s="85"/>
    </row>
    <row r="646">
      <c r="A646" s="85"/>
      <c r="B646" s="85"/>
      <c r="C646" s="85"/>
      <c r="D646" s="85"/>
      <c r="E646" s="85"/>
      <c r="F646" s="85"/>
    </row>
    <row r="647">
      <c r="A647" s="85"/>
      <c r="B647" s="85"/>
      <c r="C647" s="85"/>
      <c r="D647" s="85"/>
      <c r="E647" s="85"/>
      <c r="F647" s="85"/>
    </row>
    <row r="648">
      <c r="A648" s="85"/>
      <c r="B648" s="85"/>
      <c r="C648" s="85"/>
      <c r="D648" s="85"/>
      <c r="E648" s="85"/>
      <c r="F648" s="85"/>
    </row>
    <row r="649">
      <c r="A649" s="85"/>
      <c r="B649" s="85"/>
      <c r="C649" s="85"/>
      <c r="D649" s="85"/>
      <c r="E649" s="85"/>
      <c r="F649" s="85"/>
    </row>
    <row r="650">
      <c r="A650" s="85"/>
      <c r="B650" s="85"/>
      <c r="C650" s="85"/>
      <c r="D650" s="85"/>
      <c r="E650" s="85"/>
      <c r="F650" s="85"/>
    </row>
    <row r="651">
      <c r="A651" s="85"/>
      <c r="B651" s="85"/>
      <c r="C651" s="85"/>
      <c r="D651" s="85"/>
      <c r="E651" s="85"/>
      <c r="F651" s="85"/>
    </row>
    <row r="652">
      <c r="A652" s="85"/>
      <c r="B652" s="85"/>
      <c r="C652" s="85"/>
      <c r="D652" s="85"/>
      <c r="E652" s="85"/>
      <c r="F652" s="85"/>
    </row>
    <row r="653">
      <c r="A653" s="85"/>
      <c r="B653" s="85"/>
      <c r="C653" s="85"/>
      <c r="D653" s="85"/>
      <c r="E653" s="85"/>
      <c r="F653" s="85"/>
    </row>
    <row r="654">
      <c r="A654" s="85"/>
      <c r="B654" s="85"/>
      <c r="C654" s="85"/>
      <c r="D654" s="85"/>
      <c r="E654" s="85"/>
      <c r="F654" s="85"/>
    </row>
    <row r="655">
      <c r="A655" s="85"/>
      <c r="B655" s="85"/>
      <c r="C655" s="85"/>
      <c r="D655" s="85"/>
      <c r="E655" s="85"/>
      <c r="F655" s="85"/>
    </row>
    <row r="656">
      <c r="A656" s="85"/>
      <c r="B656" s="85"/>
      <c r="C656" s="85"/>
      <c r="D656" s="85"/>
      <c r="E656" s="85"/>
      <c r="F656" s="85"/>
    </row>
    <row r="657">
      <c r="A657" s="85"/>
      <c r="B657" s="85"/>
      <c r="C657" s="85"/>
      <c r="D657" s="85"/>
      <c r="E657" s="85"/>
      <c r="F657" s="85"/>
    </row>
    <row r="658">
      <c r="A658" s="85"/>
      <c r="B658" s="85"/>
      <c r="C658" s="85"/>
      <c r="D658" s="85"/>
      <c r="E658" s="85"/>
      <c r="F658" s="85"/>
    </row>
    <row r="659">
      <c r="A659" s="85"/>
      <c r="B659" s="85"/>
      <c r="C659" s="85"/>
      <c r="D659" s="85"/>
      <c r="E659" s="85"/>
      <c r="F659" s="85"/>
    </row>
    <row r="660">
      <c r="A660" s="85"/>
      <c r="B660" s="85"/>
      <c r="C660" s="85"/>
      <c r="D660" s="85"/>
      <c r="E660" s="85"/>
      <c r="F660" s="85"/>
    </row>
    <row r="661">
      <c r="A661" s="85"/>
      <c r="B661" s="85"/>
      <c r="C661" s="85"/>
      <c r="D661" s="85"/>
      <c r="E661" s="85"/>
      <c r="F661" s="85"/>
    </row>
    <row r="662">
      <c r="A662" s="85"/>
      <c r="B662" s="85"/>
      <c r="C662" s="85"/>
      <c r="D662" s="85"/>
      <c r="E662" s="85"/>
      <c r="F662" s="85"/>
    </row>
    <row r="663">
      <c r="A663" s="85"/>
      <c r="B663" s="85"/>
      <c r="C663" s="85"/>
      <c r="D663" s="85"/>
      <c r="E663" s="85"/>
      <c r="F663" s="85"/>
    </row>
    <row r="664">
      <c r="A664" s="85"/>
      <c r="B664" s="85"/>
      <c r="C664" s="85"/>
      <c r="D664" s="85"/>
      <c r="E664" s="85"/>
      <c r="F664" s="85"/>
    </row>
    <row r="665">
      <c r="A665" s="85"/>
      <c r="B665" s="85"/>
      <c r="C665" s="85"/>
      <c r="D665" s="85"/>
      <c r="E665" s="85"/>
      <c r="F665" s="85"/>
    </row>
    <row r="666">
      <c r="A666" s="85"/>
      <c r="B666" s="85"/>
      <c r="C666" s="85"/>
      <c r="D666" s="85"/>
      <c r="E666" s="85"/>
      <c r="F666" s="85"/>
    </row>
    <row r="667">
      <c r="A667" s="85"/>
      <c r="B667" s="85"/>
      <c r="C667" s="85"/>
      <c r="D667" s="85"/>
      <c r="E667" s="85"/>
      <c r="F667" s="85"/>
    </row>
    <row r="668">
      <c r="A668" s="85"/>
      <c r="B668" s="85"/>
      <c r="C668" s="85"/>
      <c r="D668" s="85"/>
      <c r="E668" s="85"/>
      <c r="F668" s="85"/>
    </row>
    <row r="669">
      <c r="A669" s="85"/>
      <c r="B669" s="85"/>
      <c r="C669" s="85"/>
      <c r="D669" s="85"/>
      <c r="E669" s="85"/>
      <c r="F669" s="85"/>
    </row>
    <row r="670">
      <c r="A670" s="85"/>
      <c r="B670" s="85"/>
      <c r="C670" s="85"/>
      <c r="D670" s="85"/>
      <c r="E670" s="85"/>
      <c r="F670" s="85"/>
    </row>
    <row r="671">
      <c r="A671" s="85"/>
      <c r="B671" s="85"/>
      <c r="C671" s="85"/>
      <c r="D671" s="85"/>
      <c r="E671" s="85"/>
      <c r="F671" s="85"/>
    </row>
    <row r="672">
      <c r="A672" s="85"/>
      <c r="B672" s="85"/>
      <c r="C672" s="85"/>
      <c r="D672" s="85"/>
      <c r="E672" s="85"/>
      <c r="F672" s="85"/>
    </row>
    <row r="673">
      <c r="A673" s="85"/>
      <c r="B673" s="85"/>
      <c r="C673" s="85"/>
      <c r="D673" s="85"/>
      <c r="E673" s="85"/>
      <c r="F673" s="85"/>
    </row>
    <row r="674">
      <c r="A674" s="85"/>
      <c r="B674" s="85"/>
      <c r="C674" s="85"/>
      <c r="D674" s="85"/>
      <c r="E674" s="85"/>
      <c r="F674" s="85"/>
    </row>
    <row r="675">
      <c r="A675" s="85"/>
      <c r="B675" s="85"/>
      <c r="C675" s="85"/>
      <c r="D675" s="85"/>
      <c r="E675" s="85"/>
      <c r="F675" s="85"/>
    </row>
    <row r="676">
      <c r="A676" s="85"/>
      <c r="B676" s="85"/>
      <c r="C676" s="85"/>
      <c r="D676" s="85"/>
      <c r="E676" s="85"/>
      <c r="F676" s="85"/>
    </row>
    <row r="677">
      <c r="A677" s="85"/>
      <c r="B677" s="85"/>
      <c r="C677" s="85"/>
      <c r="D677" s="85"/>
      <c r="E677" s="85"/>
      <c r="F677" s="85"/>
    </row>
    <row r="678">
      <c r="A678" s="85"/>
      <c r="B678" s="85"/>
      <c r="C678" s="85"/>
      <c r="D678" s="85"/>
      <c r="E678" s="85"/>
      <c r="F678" s="85"/>
    </row>
    <row r="679">
      <c r="A679" s="85"/>
      <c r="B679" s="85"/>
      <c r="C679" s="85"/>
      <c r="D679" s="85"/>
      <c r="E679" s="85"/>
      <c r="F679" s="85"/>
    </row>
    <row r="680">
      <c r="A680" s="85"/>
      <c r="B680" s="85"/>
      <c r="C680" s="85"/>
      <c r="D680" s="85"/>
      <c r="E680" s="85"/>
      <c r="F680" s="85"/>
    </row>
    <row r="681">
      <c r="A681" s="85"/>
      <c r="B681" s="85"/>
      <c r="C681" s="85"/>
      <c r="D681" s="85"/>
      <c r="E681" s="85"/>
      <c r="F681" s="85"/>
    </row>
    <row r="682">
      <c r="A682" s="85"/>
      <c r="B682" s="85"/>
      <c r="C682" s="85"/>
      <c r="D682" s="85"/>
      <c r="E682" s="85"/>
      <c r="F682" s="85"/>
    </row>
    <row r="683">
      <c r="A683" s="85"/>
      <c r="B683" s="85"/>
      <c r="C683" s="85"/>
      <c r="D683" s="85"/>
      <c r="E683" s="85"/>
      <c r="F683" s="85"/>
    </row>
    <row r="684">
      <c r="A684" s="85"/>
      <c r="B684" s="85"/>
      <c r="C684" s="85"/>
      <c r="D684" s="85"/>
      <c r="E684" s="85"/>
      <c r="F684" s="85"/>
    </row>
    <row r="685">
      <c r="A685" s="85"/>
      <c r="B685" s="85"/>
      <c r="C685" s="85"/>
      <c r="D685" s="85"/>
      <c r="E685" s="85"/>
      <c r="F685" s="85"/>
    </row>
    <row r="686">
      <c r="A686" s="85"/>
      <c r="B686" s="85"/>
      <c r="C686" s="85"/>
      <c r="D686" s="85"/>
      <c r="E686" s="85"/>
      <c r="F686" s="85"/>
    </row>
    <row r="687">
      <c r="A687" s="85"/>
      <c r="B687" s="85"/>
      <c r="C687" s="85"/>
      <c r="D687" s="85"/>
      <c r="E687" s="85"/>
      <c r="F687" s="85"/>
    </row>
    <row r="688">
      <c r="A688" s="85"/>
      <c r="B688" s="85"/>
      <c r="C688" s="85"/>
      <c r="D688" s="85"/>
      <c r="E688" s="85"/>
      <c r="F688" s="85"/>
    </row>
    <row r="689">
      <c r="A689" s="85"/>
      <c r="B689" s="85"/>
      <c r="C689" s="85"/>
      <c r="D689" s="85"/>
      <c r="E689" s="85"/>
      <c r="F689" s="85"/>
    </row>
    <row r="690">
      <c r="A690" s="85"/>
      <c r="B690" s="85"/>
      <c r="C690" s="85"/>
      <c r="D690" s="85"/>
      <c r="E690" s="85"/>
      <c r="F690" s="85"/>
    </row>
    <row r="691">
      <c r="A691" s="85"/>
      <c r="B691" s="85"/>
      <c r="C691" s="85"/>
      <c r="D691" s="85"/>
      <c r="E691" s="85"/>
      <c r="F691" s="85"/>
    </row>
    <row r="692">
      <c r="A692" s="85"/>
      <c r="B692" s="85"/>
      <c r="C692" s="85"/>
      <c r="D692" s="85"/>
      <c r="E692" s="85"/>
      <c r="F692" s="85"/>
    </row>
    <row r="693">
      <c r="A693" s="85"/>
      <c r="B693" s="85"/>
      <c r="C693" s="85"/>
      <c r="D693" s="85"/>
      <c r="E693" s="85"/>
      <c r="F693" s="85"/>
    </row>
    <row r="694">
      <c r="A694" s="85"/>
      <c r="B694" s="85"/>
      <c r="C694" s="85"/>
      <c r="D694" s="85"/>
      <c r="E694" s="85"/>
      <c r="F694" s="85"/>
    </row>
    <row r="695">
      <c r="A695" s="85"/>
      <c r="B695" s="85"/>
      <c r="C695" s="85"/>
      <c r="D695" s="85"/>
      <c r="E695" s="85"/>
      <c r="F695" s="85"/>
    </row>
    <row r="696">
      <c r="A696" s="85"/>
      <c r="B696" s="85"/>
      <c r="C696" s="85"/>
      <c r="D696" s="85"/>
      <c r="E696" s="85"/>
      <c r="F696" s="85"/>
    </row>
    <row r="697">
      <c r="A697" s="85"/>
      <c r="B697" s="85"/>
      <c r="C697" s="85"/>
      <c r="D697" s="85"/>
      <c r="E697" s="85"/>
      <c r="F697" s="85"/>
    </row>
    <row r="698">
      <c r="A698" s="85"/>
      <c r="B698" s="85"/>
      <c r="C698" s="85"/>
      <c r="D698" s="85"/>
      <c r="E698" s="85"/>
      <c r="F698" s="85"/>
    </row>
    <row r="699">
      <c r="A699" s="85"/>
      <c r="B699" s="85"/>
      <c r="C699" s="85"/>
      <c r="D699" s="85"/>
      <c r="E699" s="85"/>
      <c r="F699" s="85"/>
    </row>
    <row r="700">
      <c r="A700" s="85"/>
      <c r="B700" s="85"/>
      <c r="C700" s="85"/>
      <c r="D700" s="85"/>
      <c r="E700" s="85"/>
      <c r="F700" s="85"/>
    </row>
    <row r="701">
      <c r="A701" s="85"/>
      <c r="B701" s="85"/>
      <c r="C701" s="85"/>
      <c r="D701" s="85"/>
      <c r="E701" s="85"/>
      <c r="F701" s="85"/>
    </row>
    <row r="702">
      <c r="A702" s="85"/>
      <c r="B702" s="85"/>
      <c r="C702" s="85"/>
      <c r="D702" s="85"/>
      <c r="E702" s="85"/>
      <c r="F702" s="85"/>
    </row>
    <row r="703">
      <c r="A703" s="85"/>
      <c r="B703" s="85"/>
      <c r="C703" s="85"/>
      <c r="D703" s="85"/>
      <c r="E703" s="85"/>
      <c r="F703" s="85"/>
    </row>
    <row r="704">
      <c r="A704" s="85"/>
      <c r="B704" s="85"/>
      <c r="C704" s="85"/>
      <c r="D704" s="85"/>
      <c r="E704" s="85"/>
      <c r="F704" s="85"/>
    </row>
    <row r="705">
      <c r="A705" s="85"/>
      <c r="B705" s="85"/>
      <c r="C705" s="85"/>
      <c r="D705" s="85"/>
      <c r="E705" s="85"/>
      <c r="F705" s="85"/>
    </row>
    <row r="706">
      <c r="A706" s="85"/>
      <c r="B706" s="85"/>
      <c r="C706" s="85"/>
      <c r="D706" s="85"/>
      <c r="E706" s="85"/>
      <c r="F706" s="85"/>
    </row>
    <row r="707">
      <c r="A707" s="85"/>
      <c r="B707" s="85"/>
      <c r="C707" s="85"/>
      <c r="D707" s="85"/>
      <c r="E707" s="85"/>
      <c r="F707" s="85"/>
    </row>
    <row r="708">
      <c r="A708" s="85"/>
      <c r="B708" s="85"/>
      <c r="C708" s="85"/>
      <c r="D708" s="85"/>
      <c r="E708" s="85"/>
      <c r="F708" s="85"/>
    </row>
    <row r="709">
      <c r="A709" s="85"/>
      <c r="B709" s="85"/>
      <c r="C709" s="85"/>
      <c r="D709" s="85"/>
      <c r="E709" s="85"/>
      <c r="F709" s="85"/>
    </row>
    <row r="710">
      <c r="A710" s="85"/>
      <c r="B710" s="85"/>
      <c r="C710" s="85"/>
      <c r="D710" s="85"/>
      <c r="E710" s="85"/>
      <c r="F710" s="85"/>
    </row>
    <row r="711">
      <c r="A711" s="85"/>
      <c r="B711" s="85"/>
      <c r="C711" s="85"/>
      <c r="D711" s="85"/>
      <c r="E711" s="85"/>
      <c r="F711" s="85"/>
    </row>
    <row r="712">
      <c r="A712" s="85"/>
      <c r="B712" s="85"/>
      <c r="C712" s="85"/>
      <c r="D712" s="85"/>
      <c r="E712" s="85"/>
      <c r="F712" s="85"/>
    </row>
    <row r="713">
      <c r="A713" s="85"/>
      <c r="B713" s="85"/>
      <c r="C713" s="85"/>
      <c r="D713" s="85"/>
      <c r="E713" s="85"/>
      <c r="F713" s="85"/>
    </row>
    <row r="714">
      <c r="A714" s="85"/>
      <c r="B714" s="85"/>
      <c r="C714" s="85"/>
      <c r="D714" s="85"/>
      <c r="E714" s="85"/>
      <c r="F714" s="85"/>
    </row>
    <row r="715">
      <c r="A715" s="85"/>
      <c r="B715" s="85"/>
      <c r="C715" s="85"/>
      <c r="D715" s="85"/>
      <c r="E715" s="85"/>
      <c r="F715" s="85"/>
    </row>
    <row r="716">
      <c r="A716" s="85"/>
      <c r="B716" s="85"/>
      <c r="C716" s="85"/>
      <c r="D716" s="85"/>
      <c r="E716" s="85"/>
      <c r="F716" s="85"/>
    </row>
    <row r="717">
      <c r="A717" s="85"/>
      <c r="B717" s="85"/>
      <c r="C717" s="85"/>
      <c r="D717" s="85"/>
      <c r="E717" s="85"/>
      <c r="F717" s="85"/>
    </row>
    <row r="718">
      <c r="A718" s="85"/>
      <c r="B718" s="85"/>
      <c r="C718" s="85"/>
      <c r="D718" s="85"/>
      <c r="E718" s="85"/>
      <c r="F718" s="85"/>
    </row>
    <row r="719">
      <c r="A719" s="85"/>
      <c r="B719" s="85"/>
      <c r="C719" s="85"/>
      <c r="D719" s="85"/>
      <c r="E719" s="85"/>
      <c r="F719" s="85"/>
    </row>
    <row r="720">
      <c r="A720" s="85"/>
      <c r="B720" s="85"/>
      <c r="C720" s="85"/>
      <c r="D720" s="85"/>
      <c r="E720" s="85"/>
      <c r="F720" s="85"/>
    </row>
    <row r="721">
      <c r="A721" s="85"/>
      <c r="B721" s="85"/>
      <c r="C721" s="85"/>
      <c r="D721" s="85"/>
      <c r="E721" s="85"/>
      <c r="F721" s="85"/>
    </row>
    <row r="722">
      <c r="A722" s="85"/>
      <c r="B722" s="85"/>
      <c r="C722" s="85"/>
      <c r="D722" s="85"/>
      <c r="E722" s="85"/>
      <c r="F722" s="85"/>
    </row>
    <row r="723">
      <c r="A723" s="85"/>
      <c r="B723" s="85"/>
      <c r="C723" s="85"/>
      <c r="D723" s="85"/>
      <c r="E723" s="85"/>
      <c r="F723" s="85"/>
    </row>
    <row r="724">
      <c r="A724" s="85"/>
      <c r="B724" s="85"/>
      <c r="C724" s="85"/>
      <c r="D724" s="85"/>
      <c r="E724" s="85"/>
      <c r="F724" s="85"/>
    </row>
    <row r="725">
      <c r="A725" s="85"/>
      <c r="B725" s="85"/>
      <c r="C725" s="85"/>
      <c r="D725" s="85"/>
      <c r="E725" s="85"/>
      <c r="F725" s="85"/>
    </row>
    <row r="726">
      <c r="A726" s="85"/>
      <c r="B726" s="85"/>
      <c r="C726" s="85"/>
      <c r="D726" s="85"/>
      <c r="E726" s="85"/>
      <c r="F726" s="85"/>
    </row>
    <row r="727">
      <c r="A727" s="85"/>
      <c r="B727" s="85"/>
      <c r="C727" s="85"/>
      <c r="D727" s="85"/>
      <c r="E727" s="85"/>
      <c r="F727" s="85"/>
    </row>
    <row r="728">
      <c r="A728" s="85"/>
      <c r="B728" s="85"/>
      <c r="C728" s="85"/>
      <c r="D728" s="85"/>
      <c r="E728" s="85"/>
      <c r="F728" s="85"/>
    </row>
    <row r="729">
      <c r="A729" s="85"/>
      <c r="B729" s="85"/>
      <c r="C729" s="85"/>
      <c r="D729" s="85"/>
      <c r="E729" s="85"/>
      <c r="F729" s="85"/>
    </row>
    <row r="730">
      <c r="A730" s="85"/>
      <c r="B730" s="85"/>
      <c r="C730" s="85"/>
      <c r="D730" s="85"/>
      <c r="E730" s="85"/>
      <c r="F730" s="85"/>
    </row>
    <row r="731">
      <c r="A731" s="85"/>
      <c r="B731" s="85"/>
      <c r="C731" s="85"/>
      <c r="D731" s="85"/>
      <c r="E731" s="85"/>
      <c r="F731" s="85"/>
    </row>
    <row r="732">
      <c r="A732" s="85"/>
      <c r="B732" s="85"/>
      <c r="C732" s="85"/>
      <c r="D732" s="85"/>
      <c r="E732" s="85"/>
      <c r="F732" s="85"/>
    </row>
    <row r="733">
      <c r="A733" s="85"/>
      <c r="B733" s="85"/>
      <c r="C733" s="85"/>
      <c r="D733" s="85"/>
      <c r="E733" s="85"/>
      <c r="F733" s="85"/>
    </row>
    <row r="734">
      <c r="A734" s="85"/>
      <c r="B734" s="85"/>
      <c r="C734" s="85"/>
      <c r="D734" s="85"/>
      <c r="E734" s="85"/>
      <c r="F734" s="85"/>
    </row>
    <row r="735">
      <c r="A735" s="85"/>
      <c r="B735" s="85"/>
      <c r="C735" s="85"/>
      <c r="D735" s="85"/>
      <c r="E735" s="85"/>
      <c r="F735" s="85"/>
    </row>
    <row r="736">
      <c r="A736" s="85"/>
      <c r="B736" s="85"/>
      <c r="C736" s="85"/>
      <c r="D736" s="85"/>
      <c r="E736" s="85"/>
      <c r="F736" s="85"/>
    </row>
    <row r="737">
      <c r="A737" s="85"/>
      <c r="B737" s="85"/>
      <c r="C737" s="85"/>
      <c r="D737" s="85"/>
      <c r="E737" s="85"/>
      <c r="F737" s="85"/>
    </row>
    <row r="738">
      <c r="A738" s="85"/>
      <c r="B738" s="85"/>
      <c r="C738" s="85"/>
      <c r="D738" s="85"/>
      <c r="E738" s="85"/>
      <c r="F738" s="85"/>
    </row>
    <row r="739">
      <c r="A739" s="85"/>
      <c r="B739" s="85"/>
      <c r="C739" s="85"/>
      <c r="D739" s="85"/>
      <c r="E739" s="85"/>
      <c r="F739" s="85"/>
    </row>
    <row r="740">
      <c r="A740" s="85"/>
      <c r="B740" s="85"/>
      <c r="C740" s="85"/>
      <c r="D740" s="85"/>
      <c r="E740" s="85"/>
      <c r="F740" s="85"/>
    </row>
    <row r="741">
      <c r="A741" s="85"/>
      <c r="B741" s="85"/>
      <c r="C741" s="85"/>
      <c r="D741" s="85"/>
      <c r="E741" s="85"/>
      <c r="F741" s="85"/>
    </row>
    <row r="742">
      <c r="A742" s="85"/>
      <c r="B742" s="85"/>
      <c r="C742" s="85"/>
      <c r="D742" s="85"/>
      <c r="E742" s="85"/>
      <c r="F742" s="85"/>
    </row>
    <row r="743">
      <c r="A743" s="85"/>
      <c r="B743" s="85"/>
      <c r="C743" s="85"/>
      <c r="D743" s="85"/>
      <c r="E743" s="85"/>
      <c r="F743" s="85"/>
    </row>
    <row r="744">
      <c r="A744" s="85"/>
      <c r="B744" s="85"/>
      <c r="C744" s="85"/>
      <c r="D744" s="85"/>
      <c r="E744" s="85"/>
      <c r="F744" s="85"/>
    </row>
    <row r="745">
      <c r="A745" s="85"/>
      <c r="B745" s="85"/>
      <c r="C745" s="85"/>
      <c r="D745" s="85"/>
      <c r="E745" s="85"/>
      <c r="F745" s="85"/>
    </row>
    <row r="746">
      <c r="A746" s="85"/>
      <c r="B746" s="85"/>
      <c r="C746" s="85"/>
      <c r="D746" s="85"/>
      <c r="E746" s="85"/>
      <c r="F746" s="85"/>
    </row>
    <row r="747">
      <c r="A747" s="85"/>
      <c r="B747" s="85"/>
      <c r="C747" s="85"/>
      <c r="D747" s="85"/>
      <c r="E747" s="85"/>
      <c r="F747" s="85"/>
    </row>
    <row r="748">
      <c r="A748" s="85"/>
      <c r="B748" s="85"/>
      <c r="C748" s="85"/>
      <c r="D748" s="85"/>
      <c r="E748" s="85"/>
      <c r="F748" s="85"/>
    </row>
    <row r="749">
      <c r="A749" s="85"/>
      <c r="B749" s="85"/>
      <c r="C749" s="85"/>
      <c r="D749" s="85"/>
      <c r="E749" s="85"/>
      <c r="F749" s="85"/>
    </row>
    <row r="750">
      <c r="A750" s="85"/>
      <c r="B750" s="85"/>
      <c r="C750" s="85"/>
      <c r="D750" s="85"/>
      <c r="E750" s="85"/>
      <c r="F750" s="85"/>
    </row>
    <row r="751">
      <c r="A751" s="85"/>
      <c r="B751" s="85"/>
      <c r="C751" s="85"/>
      <c r="D751" s="85"/>
      <c r="E751" s="85"/>
      <c r="F751" s="85"/>
    </row>
    <row r="752">
      <c r="A752" s="85"/>
      <c r="B752" s="85"/>
      <c r="C752" s="85"/>
      <c r="D752" s="85"/>
      <c r="E752" s="85"/>
      <c r="F752" s="85"/>
    </row>
    <row r="753">
      <c r="A753" s="85"/>
      <c r="B753" s="85"/>
      <c r="C753" s="85"/>
      <c r="D753" s="85"/>
      <c r="E753" s="85"/>
      <c r="F753" s="85"/>
    </row>
    <row r="754">
      <c r="A754" s="85"/>
      <c r="B754" s="85"/>
      <c r="C754" s="85"/>
      <c r="D754" s="85"/>
      <c r="E754" s="85"/>
      <c r="F754" s="85"/>
    </row>
    <row r="755">
      <c r="A755" s="85"/>
      <c r="B755" s="85"/>
      <c r="C755" s="85"/>
      <c r="D755" s="85"/>
      <c r="E755" s="85"/>
      <c r="F755" s="85"/>
    </row>
    <row r="756">
      <c r="A756" s="85"/>
      <c r="B756" s="85"/>
      <c r="C756" s="85"/>
      <c r="D756" s="85"/>
      <c r="E756" s="85"/>
      <c r="F756" s="85"/>
    </row>
    <row r="757">
      <c r="A757" s="85"/>
      <c r="B757" s="85"/>
      <c r="C757" s="85"/>
      <c r="D757" s="85"/>
      <c r="E757" s="85"/>
      <c r="F757" s="85"/>
    </row>
    <row r="758">
      <c r="A758" s="85"/>
      <c r="B758" s="85"/>
      <c r="C758" s="85"/>
      <c r="D758" s="85"/>
      <c r="E758" s="85"/>
      <c r="F758" s="85"/>
    </row>
    <row r="759">
      <c r="A759" s="85"/>
      <c r="B759" s="85"/>
      <c r="C759" s="85"/>
      <c r="D759" s="85"/>
      <c r="E759" s="85"/>
      <c r="F759" s="85"/>
    </row>
    <row r="760">
      <c r="A760" s="85"/>
      <c r="B760" s="85"/>
      <c r="C760" s="85"/>
      <c r="D760" s="85"/>
      <c r="E760" s="85"/>
      <c r="F760" s="85"/>
    </row>
    <row r="761">
      <c r="A761" s="85"/>
      <c r="B761" s="85"/>
      <c r="C761" s="85"/>
      <c r="D761" s="85"/>
      <c r="E761" s="85"/>
      <c r="F761" s="85"/>
    </row>
    <row r="762">
      <c r="A762" s="85"/>
      <c r="B762" s="85"/>
      <c r="C762" s="85"/>
      <c r="D762" s="85"/>
      <c r="E762" s="85"/>
      <c r="F762" s="85"/>
    </row>
    <row r="763">
      <c r="A763" s="85"/>
      <c r="B763" s="85"/>
      <c r="C763" s="85"/>
      <c r="D763" s="85"/>
      <c r="E763" s="85"/>
      <c r="F763" s="85"/>
    </row>
    <row r="764">
      <c r="A764" s="85"/>
      <c r="B764" s="85"/>
      <c r="C764" s="85"/>
      <c r="D764" s="85"/>
      <c r="E764" s="85"/>
      <c r="F764" s="85"/>
    </row>
    <row r="765">
      <c r="A765" s="85"/>
      <c r="B765" s="85"/>
      <c r="C765" s="85"/>
      <c r="D765" s="85"/>
      <c r="E765" s="85"/>
      <c r="F765" s="85"/>
    </row>
    <row r="766">
      <c r="A766" s="85"/>
      <c r="B766" s="85"/>
      <c r="C766" s="85"/>
      <c r="D766" s="85"/>
      <c r="E766" s="85"/>
      <c r="F766" s="85"/>
    </row>
    <row r="767">
      <c r="A767" s="85"/>
      <c r="B767" s="85"/>
      <c r="C767" s="85"/>
      <c r="D767" s="85"/>
      <c r="E767" s="85"/>
      <c r="F767" s="85"/>
    </row>
    <row r="768">
      <c r="A768" s="85"/>
      <c r="B768" s="85"/>
      <c r="C768" s="85"/>
      <c r="D768" s="85"/>
      <c r="E768" s="85"/>
      <c r="F768" s="85"/>
    </row>
    <row r="769">
      <c r="A769" s="85"/>
      <c r="B769" s="85"/>
      <c r="C769" s="85"/>
      <c r="D769" s="85"/>
      <c r="E769" s="85"/>
      <c r="F769" s="85"/>
    </row>
    <row r="770">
      <c r="A770" s="85"/>
      <c r="B770" s="85"/>
      <c r="C770" s="85"/>
      <c r="D770" s="85"/>
      <c r="E770" s="85"/>
      <c r="F770" s="85"/>
    </row>
    <row r="771">
      <c r="A771" s="85"/>
      <c r="B771" s="85"/>
      <c r="C771" s="85"/>
      <c r="D771" s="85"/>
      <c r="E771" s="85"/>
      <c r="F771" s="85"/>
    </row>
    <row r="772">
      <c r="A772" s="85"/>
      <c r="B772" s="85"/>
      <c r="C772" s="85"/>
      <c r="D772" s="85"/>
      <c r="E772" s="85"/>
      <c r="F772" s="85"/>
    </row>
    <row r="773">
      <c r="A773" s="85"/>
      <c r="B773" s="85"/>
      <c r="C773" s="85"/>
      <c r="D773" s="85"/>
      <c r="E773" s="85"/>
      <c r="F773" s="85"/>
    </row>
    <row r="774">
      <c r="A774" s="85"/>
      <c r="B774" s="85"/>
      <c r="C774" s="85"/>
      <c r="D774" s="85"/>
      <c r="E774" s="85"/>
      <c r="F774" s="85"/>
    </row>
    <row r="775">
      <c r="A775" s="85"/>
      <c r="B775" s="85"/>
      <c r="C775" s="85"/>
      <c r="D775" s="85"/>
      <c r="E775" s="85"/>
      <c r="F775" s="85"/>
    </row>
    <row r="776">
      <c r="A776" s="85"/>
      <c r="B776" s="85"/>
      <c r="C776" s="85"/>
      <c r="D776" s="85"/>
      <c r="E776" s="85"/>
      <c r="F776" s="85"/>
    </row>
    <row r="777">
      <c r="A777" s="85"/>
      <c r="B777" s="85"/>
      <c r="C777" s="85"/>
      <c r="D777" s="85"/>
      <c r="E777" s="85"/>
      <c r="F777" s="85"/>
    </row>
    <row r="778">
      <c r="A778" s="85"/>
      <c r="B778" s="85"/>
      <c r="C778" s="85"/>
      <c r="D778" s="85"/>
      <c r="E778" s="85"/>
      <c r="F778" s="85"/>
    </row>
    <row r="779">
      <c r="A779" s="85"/>
      <c r="B779" s="85"/>
      <c r="C779" s="85"/>
      <c r="D779" s="85"/>
      <c r="E779" s="85"/>
      <c r="F779" s="85"/>
    </row>
    <row r="780">
      <c r="A780" s="85"/>
      <c r="B780" s="85"/>
      <c r="C780" s="85"/>
      <c r="D780" s="85"/>
      <c r="E780" s="85"/>
      <c r="F780" s="85"/>
    </row>
    <row r="781">
      <c r="A781" s="85"/>
      <c r="B781" s="85"/>
      <c r="C781" s="85"/>
      <c r="D781" s="85"/>
      <c r="E781" s="85"/>
      <c r="F781" s="85"/>
    </row>
    <row r="782">
      <c r="A782" s="85"/>
      <c r="B782" s="85"/>
      <c r="C782" s="85"/>
      <c r="D782" s="85"/>
      <c r="E782" s="85"/>
      <c r="F782" s="85"/>
    </row>
    <row r="783">
      <c r="A783" s="85"/>
      <c r="B783" s="85"/>
      <c r="C783" s="85"/>
      <c r="D783" s="85"/>
      <c r="E783" s="85"/>
      <c r="F783" s="85"/>
    </row>
    <row r="784">
      <c r="A784" s="85"/>
      <c r="B784" s="85"/>
      <c r="C784" s="85"/>
      <c r="D784" s="85"/>
      <c r="E784" s="85"/>
      <c r="F784" s="85"/>
    </row>
    <row r="785">
      <c r="A785" s="85"/>
      <c r="B785" s="85"/>
      <c r="C785" s="85"/>
      <c r="D785" s="85"/>
      <c r="E785" s="85"/>
      <c r="F785" s="85"/>
    </row>
    <row r="786">
      <c r="A786" s="85"/>
      <c r="B786" s="85"/>
      <c r="C786" s="85"/>
      <c r="D786" s="85"/>
      <c r="E786" s="85"/>
      <c r="F786" s="85"/>
    </row>
    <row r="787">
      <c r="A787" s="85"/>
      <c r="B787" s="85"/>
      <c r="C787" s="85"/>
      <c r="D787" s="85"/>
      <c r="E787" s="85"/>
      <c r="F787" s="85"/>
    </row>
    <row r="788">
      <c r="A788" s="85"/>
      <c r="B788" s="85"/>
      <c r="C788" s="85"/>
      <c r="D788" s="85"/>
      <c r="E788" s="85"/>
      <c r="F788" s="85"/>
    </row>
    <row r="789">
      <c r="A789" s="85"/>
      <c r="B789" s="85"/>
      <c r="C789" s="85"/>
      <c r="D789" s="85"/>
      <c r="E789" s="85"/>
      <c r="F789" s="85"/>
    </row>
    <row r="790">
      <c r="A790" s="85"/>
      <c r="B790" s="85"/>
      <c r="C790" s="85"/>
      <c r="D790" s="85"/>
      <c r="E790" s="85"/>
      <c r="F790" s="85"/>
    </row>
    <row r="791">
      <c r="A791" s="85"/>
      <c r="B791" s="85"/>
      <c r="C791" s="85"/>
      <c r="D791" s="85"/>
      <c r="E791" s="85"/>
      <c r="F791" s="85"/>
    </row>
    <row r="792">
      <c r="A792" s="85"/>
      <c r="B792" s="85"/>
      <c r="C792" s="85"/>
      <c r="D792" s="85"/>
      <c r="E792" s="85"/>
      <c r="F792" s="85"/>
    </row>
    <row r="793">
      <c r="A793" s="85"/>
      <c r="B793" s="85"/>
      <c r="C793" s="85"/>
      <c r="D793" s="85"/>
      <c r="E793" s="85"/>
      <c r="F793" s="85"/>
    </row>
    <row r="794">
      <c r="A794" s="85"/>
      <c r="B794" s="85"/>
      <c r="C794" s="85"/>
      <c r="D794" s="85"/>
      <c r="E794" s="85"/>
      <c r="F794" s="85"/>
    </row>
    <row r="795">
      <c r="A795" s="85"/>
      <c r="B795" s="85"/>
      <c r="C795" s="85"/>
      <c r="D795" s="85"/>
      <c r="E795" s="85"/>
      <c r="F795" s="85"/>
    </row>
    <row r="796">
      <c r="A796" s="85"/>
      <c r="B796" s="85"/>
      <c r="C796" s="85"/>
      <c r="D796" s="85"/>
      <c r="E796" s="85"/>
      <c r="F796" s="85"/>
    </row>
    <row r="797">
      <c r="A797" s="85"/>
      <c r="B797" s="85"/>
      <c r="C797" s="85"/>
      <c r="D797" s="85"/>
      <c r="E797" s="85"/>
      <c r="F797" s="85"/>
    </row>
    <row r="798">
      <c r="A798" s="85"/>
      <c r="B798" s="85"/>
      <c r="C798" s="85"/>
      <c r="D798" s="85"/>
      <c r="E798" s="85"/>
      <c r="F798" s="85"/>
    </row>
    <row r="799">
      <c r="A799" s="85"/>
      <c r="B799" s="85"/>
      <c r="C799" s="85"/>
      <c r="D799" s="85"/>
      <c r="E799" s="85"/>
      <c r="F799" s="85"/>
    </row>
    <row r="800">
      <c r="A800" s="85"/>
      <c r="B800" s="85"/>
      <c r="C800" s="85"/>
      <c r="D800" s="85"/>
      <c r="E800" s="85"/>
      <c r="F800" s="85"/>
    </row>
    <row r="801">
      <c r="A801" s="85"/>
      <c r="B801" s="85"/>
      <c r="C801" s="85"/>
      <c r="D801" s="85"/>
      <c r="E801" s="85"/>
      <c r="F801" s="85"/>
    </row>
    <row r="802">
      <c r="A802" s="85"/>
      <c r="B802" s="85"/>
      <c r="C802" s="85"/>
      <c r="D802" s="85"/>
      <c r="E802" s="85"/>
      <c r="F802" s="85"/>
    </row>
    <row r="803">
      <c r="A803" s="85"/>
      <c r="B803" s="85"/>
      <c r="C803" s="85"/>
      <c r="D803" s="85"/>
      <c r="E803" s="85"/>
      <c r="F803" s="85"/>
    </row>
    <row r="804">
      <c r="A804" s="85"/>
      <c r="B804" s="85"/>
      <c r="C804" s="85"/>
      <c r="D804" s="85"/>
      <c r="E804" s="85"/>
      <c r="F804" s="85"/>
    </row>
    <row r="805">
      <c r="A805" s="85"/>
      <c r="B805" s="85"/>
      <c r="C805" s="85"/>
      <c r="D805" s="85"/>
      <c r="E805" s="85"/>
      <c r="F805" s="85"/>
    </row>
    <row r="806">
      <c r="A806" s="85"/>
      <c r="B806" s="85"/>
      <c r="C806" s="85"/>
      <c r="D806" s="85"/>
      <c r="E806" s="85"/>
      <c r="F806" s="85"/>
    </row>
    <row r="807">
      <c r="A807" s="85"/>
      <c r="B807" s="85"/>
      <c r="C807" s="85"/>
      <c r="D807" s="85"/>
      <c r="E807" s="85"/>
      <c r="F807" s="85"/>
    </row>
    <row r="808">
      <c r="A808" s="85"/>
      <c r="B808" s="85"/>
      <c r="C808" s="85"/>
      <c r="D808" s="85"/>
      <c r="E808" s="85"/>
      <c r="F808" s="85"/>
    </row>
    <row r="809">
      <c r="A809" s="85"/>
      <c r="B809" s="85"/>
      <c r="C809" s="85"/>
      <c r="D809" s="85"/>
      <c r="E809" s="85"/>
      <c r="F809" s="85"/>
    </row>
    <row r="810">
      <c r="A810" s="85"/>
      <c r="B810" s="85"/>
      <c r="C810" s="85"/>
      <c r="D810" s="85"/>
      <c r="E810" s="85"/>
      <c r="F810" s="85"/>
    </row>
    <row r="811">
      <c r="A811" s="85"/>
      <c r="B811" s="85"/>
      <c r="C811" s="85"/>
      <c r="D811" s="85"/>
      <c r="E811" s="85"/>
      <c r="F811" s="85"/>
    </row>
    <row r="812">
      <c r="A812" s="85"/>
      <c r="B812" s="85"/>
      <c r="C812" s="85"/>
      <c r="D812" s="85"/>
      <c r="E812" s="85"/>
      <c r="F812" s="85"/>
    </row>
    <row r="813">
      <c r="A813" s="85"/>
      <c r="B813" s="85"/>
      <c r="C813" s="85"/>
      <c r="D813" s="85"/>
      <c r="E813" s="85"/>
      <c r="F813" s="85"/>
    </row>
    <row r="814">
      <c r="A814" s="85"/>
      <c r="B814" s="85"/>
      <c r="C814" s="85"/>
      <c r="D814" s="85"/>
      <c r="E814" s="85"/>
      <c r="F814" s="85"/>
    </row>
    <row r="815">
      <c r="A815" s="85"/>
      <c r="B815" s="85"/>
      <c r="C815" s="85"/>
      <c r="D815" s="85"/>
      <c r="E815" s="85"/>
      <c r="F815" s="85"/>
    </row>
    <row r="816">
      <c r="A816" s="85"/>
      <c r="B816" s="85"/>
      <c r="C816" s="85"/>
      <c r="D816" s="85"/>
      <c r="E816" s="85"/>
      <c r="F816" s="85"/>
    </row>
    <row r="817">
      <c r="A817" s="85"/>
      <c r="B817" s="85"/>
      <c r="C817" s="85"/>
      <c r="D817" s="85"/>
      <c r="E817" s="85"/>
      <c r="F817" s="85"/>
    </row>
    <row r="818">
      <c r="A818" s="85"/>
      <c r="B818" s="85"/>
      <c r="C818" s="85"/>
      <c r="D818" s="85"/>
      <c r="E818" s="85"/>
      <c r="F818" s="85"/>
    </row>
    <row r="819">
      <c r="A819" s="85"/>
      <c r="B819" s="85"/>
      <c r="C819" s="85"/>
      <c r="D819" s="85"/>
      <c r="E819" s="85"/>
      <c r="F819" s="85"/>
    </row>
    <row r="820">
      <c r="A820" s="85"/>
      <c r="B820" s="85"/>
      <c r="C820" s="85"/>
      <c r="D820" s="85"/>
      <c r="E820" s="85"/>
      <c r="F820" s="85"/>
    </row>
    <row r="821">
      <c r="A821" s="85"/>
      <c r="B821" s="85"/>
      <c r="C821" s="85"/>
      <c r="D821" s="85"/>
      <c r="E821" s="85"/>
      <c r="F821" s="85"/>
    </row>
    <row r="822">
      <c r="A822" s="85"/>
      <c r="B822" s="85"/>
      <c r="C822" s="85"/>
      <c r="D822" s="85"/>
      <c r="E822" s="85"/>
      <c r="F822" s="85"/>
    </row>
    <row r="823">
      <c r="A823" s="85"/>
      <c r="B823" s="85"/>
      <c r="C823" s="85"/>
      <c r="D823" s="85"/>
      <c r="E823" s="85"/>
      <c r="F823" s="85"/>
    </row>
    <row r="824">
      <c r="A824" s="85"/>
      <c r="B824" s="85"/>
      <c r="C824" s="85"/>
      <c r="D824" s="85"/>
      <c r="E824" s="85"/>
      <c r="F824" s="85"/>
    </row>
    <row r="825">
      <c r="A825" s="85"/>
      <c r="B825" s="85"/>
      <c r="C825" s="85"/>
      <c r="D825" s="85"/>
      <c r="E825" s="85"/>
      <c r="F825" s="85"/>
    </row>
    <row r="826">
      <c r="A826" s="85"/>
      <c r="B826" s="85"/>
      <c r="C826" s="85"/>
      <c r="D826" s="85"/>
      <c r="E826" s="85"/>
      <c r="F826" s="85"/>
    </row>
    <row r="827">
      <c r="A827" s="85"/>
      <c r="B827" s="85"/>
      <c r="C827" s="85"/>
      <c r="D827" s="85"/>
      <c r="E827" s="85"/>
      <c r="F827" s="85"/>
    </row>
    <row r="828">
      <c r="A828" s="85"/>
      <c r="B828" s="85"/>
      <c r="C828" s="85"/>
      <c r="D828" s="85"/>
      <c r="E828" s="85"/>
      <c r="F828" s="85"/>
    </row>
    <row r="829">
      <c r="A829" s="85"/>
      <c r="B829" s="85"/>
      <c r="C829" s="85"/>
      <c r="D829" s="85"/>
      <c r="E829" s="85"/>
      <c r="F829" s="85"/>
    </row>
    <row r="830">
      <c r="A830" s="85"/>
      <c r="B830" s="85"/>
      <c r="C830" s="85"/>
      <c r="D830" s="85"/>
      <c r="E830" s="85"/>
      <c r="F830" s="85"/>
    </row>
    <row r="831">
      <c r="A831" s="85"/>
      <c r="B831" s="85"/>
      <c r="C831" s="85"/>
      <c r="D831" s="85"/>
      <c r="E831" s="85"/>
      <c r="F831" s="85"/>
    </row>
    <row r="832">
      <c r="A832" s="85"/>
      <c r="B832" s="85"/>
      <c r="C832" s="85"/>
      <c r="D832" s="85"/>
      <c r="E832" s="85"/>
      <c r="F832" s="85"/>
    </row>
    <row r="833">
      <c r="A833" s="85"/>
      <c r="B833" s="85"/>
      <c r="C833" s="85"/>
      <c r="D833" s="85"/>
      <c r="E833" s="85"/>
      <c r="F833" s="85"/>
    </row>
    <row r="834">
      <c r="A834" s="85"/>
      <c r="B834" s="85"/>
      <c r="C834" s="85"/>
      <c r="D834" s="85"/>
      <c r="E834" s="85"/>
      <c r="F834" s="85"/>
    </row>
    <row r="835">
      <c r="A835" s="85"/>
      <c r="B835" s="85"/>
      <c r="C835" s="85"/>
      <c r="D835" s="85"/>
      <c r="E835" s="85"/>
      <c r="F835" s="85"/>
    </row>
    <row r="836">
      <c r="A836" s="85"/>
      <c r="B836" s="85"/>
      <c r="C836" s="85"/>
      <c r="D836" s="85"/>
      <c r="E836" s="85"/>
      <c r="F836" s="85"/>
    </row>
    <row r="837">
      <c r="A837" s="85"/>
      <c r="B837" s="85"/>
      <c r="C837" s="85"/>
      <c r="D837" s="85"/>
      <c r="E837" s="85"/>
      <c r="F837" s="85"/>
    </row>
    <row r="838">
      <c r="A838" s="85"/>
      <c r="B838" s="85"/>
      <c r="C838" s="85"/>
      <c r="D838" s="85"/>
      <c r="E838" s="85"/>
      <c r="F838" s="85"/>
    </row>
    <row r="839">
      <c r="A839" s="85"/>
      <c r="B839" s="85"/>
      <c r="C839" s="85"/>
      <c r="D839" s="85"/>
      <c r="E839" s="85"/>
      <c r="F839" s="85"/>
    </row>
    <row r="840">
      <c r="A840" s="85"/>
      <c r="B840" s="85"/>
      <c r="C840" s="85"/>
      <c r="D840" s="85"/>
      <c r="E840" s="85"/>
      <c r="F840" s="85"/>
    </row>
    <row r="841">
      <c r="A841" s="85"/>
      <c r="B841" s="85"/>
      <c r="C841" s="85"/>
      <c r="D841" s="85"/>
      <c r="E841" s="85"/>
      <c r="F841" s="85"/>
    </row>
    <row r="842">
      <c r="A842" s="85"/>
      <c r="B842" s="85"/>
      <c r="C842" s="85"/>
      <c r="D842" s="85"/>
      <c r="E842" s="85"/>
      <c r="F842" s="85"/>
    </row>
    <row r="843">
      <c r="A843" s="85"/>
      <c r="B843" s="85"/>
      <c r="C843" s="85"/>
      <c r="D843" s="85"/>
      <c r="E843" s="85"/>
      <c r="F843" s="85"/>
    </row>
    <row r="844">
      <c r="A844" s="85"/>
      <c r="B844" s="85"/>
      <c r="C844" s="85"/>
      <c r="D844" s="85"/>
      <c r="E844" s="85"/>
      <c r="F844" s="85"/>
    </row>
    <row r="845">
      <c r="A845" s="85"/>
      <c r="B845" s="85"/>
      <c r="C845" s="85"/>
      <c r="D845" s="85"/>
      <c r="E845" s="85"/>
      <c r="F845" s="85"/>
    </row>
    <row r="846">
      <c r="A846" s="85"/>
      <c r="B846" s="85"/>
      <c r="C846" s="85"/>
      <c r="D846" s="85"/>
      <c r="E846" s="85"/>
      <c r="F846" s="85"/>
    </row>
    <row r="847">
      <c r="A847" s="85"/>
      <c r="B847" s="85"/>
      <c r="C847" s="85"/>
      <c r="D847" s="85"/>
      <c r="E847" s="85"/>
      <c r="F847" s="85"/>
    </row>
    <row r="848">
      <c r="A848" s="85"/>
      <c r="B848" s="85"/>
      <c r="C848" s="85"/>
      <c r="D848" s="85"/>
      <c r="E848" s="85"/>
      <c r="F848" s="85"/>
    </row>
    <row r="849">
      <c r="A849" s="85"/>
      <c r="B849" s="85"/>
      <c r="C849" s="85"/>
      <c r="D849" s="85"/>
      <c r="E849" s="85"/>
      <c r="F849" s="85"/>
    </row>
    <row r="850">
      <c r="A850" s="85"/>
      <c r="B850" s="85"/>
      <c r="C850" s="85"/>
      <c r="D850" s="85"/>
      <c r="E850" s="85"/>
      <c r="F850" s="85"/>
    </row>
    <row r="851">
      <c r="A851" s="85"/>
      <c r="B851" s="85"/>
      <c r="C851" s="85"/>
      <c r="D851" s="85"/>
      <c r="E851" s="85"/>
      <c r="F851" s="85"/>
    </row>
    <row r="852">
      <c r="A852" s="85"/>
      <c r="B852" s="85"/>
      <c r="C852" s="85"/>
      <c r="D852" s="85"/>
      <c r="E852" s="85"/>
      <c r="F852" s="85"/>
    </row>
    <row r="853">
      <c r="A853" s="85"/>
      <c r="B853" s="85"/>
      <c r="C853" s="85"/>
      <c r="D853" s="85"/>
      <c r="E853" s="85"/>
      <c r="F853" s="85"/>
    </row>
    <row r="854">
      <c r="A854" s="85"/>
      <c r="B854" s="85"/>
      <c r="C854" s="85"/>
      <c r="D854" s="85"/>
      <c r="E854" s="85"/>
      <c r="F854" s="85"/>
    </row>
    <row r="855">
      <c r="A855" s="85"/>
      <c r="B855" s="85"/>
      <c r="C855" s="85"/>
      <c r="D855" s="85"/>
      <c r="E855" s="85"/>
      <c r="F855" s="85"/>
    </row>
    <row r="856">
      <c r="A856" s="85"/>
      <c r="B856" s="85"/>
      <c r="C856" s="85"/>
      <c r="D856" s="85"/>
      <c r="E856" s="85"/>
      <c r="F856" s="85"/>
    </row>
    <row r="857">
      <c r="A857" s="85"/>
      <c r="B857" s="85"/>
      <c r="C857" s="85"/>
      <c r="D857" s="85"/>
      <c r="E857" s="85"/>
      <c r="F857" s="85"/>
    </row>
    <row r="858">
      <c r="A858" s="85"/>
      <c r="B858" s="85"/>
      <c r="C858" s="85"/>
      <c r="D858" s="85"/>
      <c r="E858" s="85"/>
      <c r="F858" s="85"/>
    </row>
    <row r="859">
      <c r="A859" s="85"/>
      <c r="B859" s="85"/>
      <c r="C859" s="85"/>
      <c r="D859" s="85"/>
      <c r="E859" s="85"/>
      <c r="F859" s="85"/>
    </row>
    <row r="860">
      <c r="A860" s="85"/>
      <c r="B860" s="85"/>
      <c r="C860" s="85"/>
      <c r="D860" s="85"/>
      <c r="E860" s="85"/>
      <c r="F860" s="85"/>
    </row>
    <row r="861">
      <c r="A861" s="85"/>
      <c r="B861" s="85"/>
      <c r="C861" s="85"/>
      <c r="D861" s="85"/>
      <c r="E861" s="85"/>
      <c r="F861" s="85"/>
    </row>
    <row r="862">
      <c r="A862" s="85"/>
      <c r="B862" s="85"/>
      <c r="C862" s="85"/>
      <c r="D862" s="85"/>
      <c r="E862" s="85"/>
      <c r="F862" s="85"/>
    </row>
    <row r="863">
      <c r="A863" s="85"/>
      <c r="B863" s="85"/>
      <c r="C863" s="85"/>
      <c r="D863" s="85"/>
      <c r="E863" s="85"/>
      <c r="F863" s="85"/>
    </row>
    <row r="864">
      <c r="A864" s="85"/>
      <c r="B864" s="85"/>
      <c r="C864" s="85"/>
      <c r="D864" s="85"/>
      <c r="E864" s="85"/>
      <c r="F864" s="85"/>
    </row>
    <row r="865">
      <c r="A865" s="85"/>
      <c r="B865" s="85"/>
      <c r="C865" s="85"/>
      <c r="D865" s="85"/>
      <c r="E865" s="85"/>
      <c r="F865" s="85"/>
    </row>
    <row r="866">
      <c r="A866" s="85"/>
      <c r="B866" s="85"/>
      <c r="C866" s="85"/>
      <c r="D866" s="85"/>
      <c r="E866" s="85"/>
      <c r="F866" s="85"/>
    </row>
    <row r="867">
      <c r="A867" s="85"/>
      <c r="B867" s="85"/>
      <c r="C867" s="85"/>
      <c r="D867" s="85"/>
      <c r="E867" s="85"/>
      <c r="F867" s="85"/>
    </row>
    <row r="868">
      <c r="A868" s="85"/>
      <c r="B868" s="85"/>
      <c r="C868" s="85"/>
      <c r="D868" s="85"/>
      <c r="E868" s="85"/>
      <c r="F868" s="85"/>
    </row>
    <row r="869">
      <c r="A869" s="85"/>
      <c r="B869" s="85"/>
      <c r="C869" s="85"/>
      <c r="D869" s="85"/>
      <c r="E869" s="85"/>
      <c r="F869" s="85"/>
    </row>
    <row r="870">
      <c r="A870" s="85"/>
      <c r="B870" s="85"/>
      <c r="C870" s="85"/>
      <c r="D870" s="85"/>
      <c r="E870" s="85"/>
      <c r="F870" s="85"/>
    </row>
    <row r="871">
      <c r="A871" s="85"/>
      <c r="B871" s="85"/>
      <c r="C871" s="85"/>
      <c r="D871" s="85"/>
      <c r="E871" s="85"/>
      <c r="F871" s="85"/>
    </row>
    <row r="872">
      <c r="A872" s="85"/>
      <c r="B872" s="85"/>
      <c r="C872" s="85"/>
      <c r="D872" s="85"/>
      <c r="E872" s="85"/>
      <c r="F872" s="85"/>
    </row>
    <row r="873">
      <c r="A873" s="85"/>
      <c r="B873" s="85"/>
      <c r="C873" s="85"/>
      <c r="D873" s="85"/>
      <c r="E873" s="85"/>
      <c r="F873" s="85"/>
    </row>
    <row r="874">
      <c r="A874" s="85"/>
      <c r="B874" s="85"/>
      <c r="C874" s="85"/>
      <c r="D874" s="85"/>
      <c r="E874" s="85"/>
      <c r="F874" s="85"/>
    </row>
    <row r="875">
      <c r="A875" s="85"/>
      <c r="B875" s="85"/>
      <c r="C875" s="85"/>
      <c r="D875" s="85"/>
      <c r="E875" s="85"/>
      <c r="F875" s="85"/>
    </row>
    <row r="876">
      <c r="A876" s="85"/>
      <c r="B876" s="85"/>
      <c r="C876" s="85"/>
      <c r="D876" s="85"/>
      <c r="E876" s="85"/>
      <c r="F876" s="85"/>
    </row>
    <row r="877">
      <c r="A877" s="85"/>
      <c r="B877" s="85"/>
      <c r="C877" s="85"/>
      <c r="D877" s="85"/>
      <c r="E877" s="85"/>
      <c r="F877" s="85"/>
    </row>
    <row r="878">
      <c r="A878" s="85"/>
      <c r="B878" s="85"/>
      <c r="C878" s="85"/>
      <c r="D878" s="85"/>
      <c r="E878" s="85"/>
      <c r="F878" s="85"/>
    </row>
    <row r="879">
      <c r="A879" s="85"/>
      <c r="B879" s="85"/>
      <c r="C879" s="85"/>
      <c r="D879" s="85"/>
      <c r="E879" s="85"/>
      <c r="F879" s="85"/>
    </row>
    <row r="880">
      <c r="A880" s="85"/>
      <c r="B880" s="85"/>
      <c r="C880" s="85"/>
      <c r="D880" s="85"/>
      <c r="E880" s="85"/>
      <c r="F880" s="85"/>
    </row>
    <row r="881">
      <c r="A881" s="85"/>
      <c r="B881" s="85"/>
      <c r="C881" s="85"/>
      <c r="D881" s="85"/>
      <c r="E881" s="85"/>
      <c r="F881" s="85"/>
    </row>
    <row r="882">
      <c r="A882" s="85"/>
      <c r="B882" s="85"/>
      <c r="C882" s="85"/>
      <c r="D882" s="85"/>
      <c r="E882" s="85"/>
      <c r="F882" s="85"/>
    </row>
    <row r="883">
      <c r="A883" s="85"/>
      <c r="B883" s="85"/>
      <c r="C883" s="85"/>
      <c r="D883" s="85"/>
      <c r="E883" s="85"/>
      <c r="F883" s="85"/>
    </row>
    <row r="884">
      <c r="A884" s="85"/>
      <c r="B884" s="85"/>
      <c r="C884" s="85"/>
      <c r="D884" s="85"/>
      <c r="E884" s="85"/>
      <c r="F884" s="85"/>
    </row>
    <row r="885">
      <c r="A885" s="85"/>
      <c r="B885" s="85"/>
      <c r="C885" s="85"/>
      <c r="D885" s="85"/>
      <c r="E885" s="85"/>
      <c r="F885" s="85"/>
    </row>
    <row r="886">
      <c r="A886" s="85"/>
      <c r="B886" s="85"/>
      <c r="C886" s="85"/>
      <c r="D886" s="85"/>
      <c r="E886" s="85"/>
      <c r="F886" s="85"/>
    </row>
    <row r="887">
      <c r="A887" s="85"/>
      <c r="B887" s="85"/>
      <c r="C887" s="85"/>
      <c r="D887" s="85"/>
      <c r="E887" s="85"/>
      <c r="F887" s="85"/>
    </row>
    <row r="888">
      <c r="A888" s="85"/>
      <c r="B888" s="85"/>
      <c r="C888" s="85"/>
      <c r="D888" s="85"/>
      <c r="E888" s="85"/>
      <c r="F888" s="85"/>
    </row>
    <row r="889">
      <c r="A889" s="85"/>
      <c r="B889" s="85"/>
      <c r="C889" s="85"/>
      <c r="D889" s="85"/>
      <c r="E889" s="85"/>
      <c r="F889" s="85"/>
    </row>
    <row r="890">
      <c r="A890" s="85"/>
      <c r="B890" s="85"/>
      <c r="C890" s="85"/>
      <c r="D890" s="85"/>
      <c r="E890" s="85"/>
      <c r="F890" s="85"/>
    </row>
    <row r="891">
      <c r="A891" s="85"/>
      <c r="B891" s="85"/>
      <c r="C891" s="85"/>
      <c r="D891" s="85"/>
      <c r="E891" s="85"/>
      <c r="F891" s="85"/>
    </row>
    <row r="892">
      <c r="A892" s="85"/>
      <c r="B892" s="85"/>
      <c r="C892" s="85"/>
      <c r="D892" s="85"/>
      <c r="E892" s="85"/>
      <c r="F892" s="85"/>
    </row>
    <row r="893">
      <c r="A893" s="85"/>
      <c r="B893" s="85"/>
      <c r="C893" s="85"/>
      <c r="D893" s="85"/>
      <c r="E893" s="85"/>
      <c r="F893" s="85"/>
    </row>
    <row r="894">
      <c r="A894" s="85"/>
      <c r="B894" s="85"/>
      <c r="C894" s="85"/>
      <c r="D894" s="85"/>
      <c r="E894" s="85"/>
      <c r="F894" s="85"/>
    </row>
    <row r="895">
      <c r="A895" s="85"/>
      <c r="B895" s="85"/>
      <c r="C895" s="85"/>
      <c r="D895" s="85"/>
      <c r="E895" s="85"/>
      <c r="F895" s="85"/>
    </row>
    <row r="896">
      <c r="A896" s="85"/>
      <c r="B896" s="85"/>
      <c r="C896" s="85"/>
      <c r="D896" s="85"/>
      <c r="E896" s="85"/>
      <c r="F896" s="85"/>
    </row>
    <row r="897">
      <c r="A897" s="85"/>
      <c r="B897" s="85"/>
      <c r="C897" s="85"/>
      <c r="D897" s="85"/>
      <c r="E897" s="85"/>
      <c r="F897" s="85"/>
    </row>
    <row r="898">
      <c r="A898" s="85"/>
      <c r="B898" s="85"/>
      <c r="C898" s="85"/>
      <c r="D898" s="85"/>
      <c r="E898" s="85"/>
      <c r="F898" s="85"/>
    </row>
    <row r="899">
      <c r="A899" s="85"/>
      <c r="B899" s="85"/>
      <c r="C899" s="85"/>
      <c r="D899" s="85"/>
      <c r="E899" s="85"/>
      <c r="F899" s="85"/>
    </row>
    <row r="900">
      <c r="A900" s="85"/>
      <c r="B900" s="85"/>
      <c r="C900" s="85"/>
      <c r="D900" s="85"/>
      <c r="E900" s="85"/>
      <c r="F900" s="85"/>
    </row>
    <row r="901">
      <c r="A901" s="85"/>
      <c r="B901" s="85"/>
      <c r="C901" s="85"/>
      <c r="D901" s="85"/>
      <c r="E901" s="85"/>
      <c r="F901" s="85"/>
    </row>
    <row r="902">
      <c r="A902" s="85"/>
      <c r="B902" s="85"/>
      <c r="C902" s="85"/>
      <c r="D902" s="85"/>
      <c r="E902" s="85"/>
      <c r="F902" s="85"/>
    </row>
    <row r="903">
      <c r="A903" s="85"/>
      <c r="B903" s="85"/>
      <c r="C903" s="85"/>
      <c r="D903" s="85"/>
      <c r="E903" s="85"/>
      <c r="F903" s="85"/>
    </row>
    <row r="904">
      <c r="A904" s="85"/>
      <c r="B904" s="85"/>
      <c r="C904" s="85"/>
      <c r="D904" s="85"/>
      <c r="E904" s="85"/>
      <c r="F904" s="85"/>
    </row>
    <row r="905">
      <c r="A905" s="85"/>
      <c r="B905" s="85"/>
      <c r="C905" s="85"/>
      <c r="D905" s="85"/>
      <c r="E905" s="85"/>
      <c r="F905" s="85"/>
    </row>
    <row r="906">
      <c r="A906" s="85"/>
      <c r="B906" s="85"/>
      <c r="C906" s="85"/>
      <c r="D906" s="85"/>
      <c r="E906" s="85"/>
      <c r="F906" s="85"/>
    </row>
    <row r="907">
      <c r="A907" s="85"/>
      <c r="B907" s="85"/>
      <c r="C907" s="85"/>
      <c r="D907" s="85"/>
      <c r="E907" s="85"/>
      <c r="F907" s="85"/>
    </row>
    <row r="908">
      <c r="A908" s="85"/>
      <c r="B908" s="85"/>
      <c r="C908" s="85"/>
      <c r="D908" s="85"/>
      <c r="E908" s="85"/>
      <c r="F908" s="85"/>
    </row>
    <row r="909">
      <c r="A909" s="85"/>
      <c r="B909" s="85"/>
      <c r="C909" s="85"/>
      <c r="D909" s="85"/>
      <c r="E909" s="85"/>
      <c r="F909" s="85"/>
    </row>
    <row r="910">
      <c r="A910" s="85"/>
      <c r="B910" s="85"/>
      <c r="C910" s="85"/>
      <c r="D910" s="85"/>
      <c r="E910" s="85"/>
      <c r="F910" s="85"/>
    </row>
    <row r="911">
      <c r="A911" s="85"/>
      <c r="B911" s="85"/>
      <c r="C911" s="85"/>
      <c r="D911" s="85"/>
      <c r="E911" s="85"/>
      <c r="F911" s="85"/>
    </row>
    <row r="912">
      <c r="A912" s="85"/>
      <c r="B912" s="85"/>
      <c r="C912" s="85"/>
      <c r="D912" s="85"/>
      <c r="E912" s="85"/>
      <c r="F912" s="85"/>
    </row>
    <row r="913">
      <c r="A913" s="85"/>
      <c r="B913" s="85"/>
      <c r="C913" s="85"/>
      <c r="D913" s="85"/>
      <c r="E913" s="85"/>
      <c r="F913" s="85"/>
    </row>
    <row r="914">
      <c r="A914" s="85"/>
      <c r="B914" s="85"/>
      <c r="C914" s="85"/>
      <c r="D914" s="85"/>
      <c r="E914" s="85"/>
      <c r="F914" s="85"/>
    </row>
    <row r="915">
      <c r="A915" s="85"/>
      <c r="B915" s="85"/>
      <c r="C915" s="85"/>
      <c r="D915" s="85"/>
      <c r="E915" s="85"/>
      <c r="F915" s="85"/>
    </row>
    <row r="916">
      <c r="A916" s="85"/>
      <c r="B916" s="85"/>
      <c r="C916" s="85"/>
      <c r="D916" s="85"/>
      <c r="E916" s="85"/>
      <c r="F916" s="85"/>
    </row>
    <row r="917">
      <c r="A917" s="85"/>
      <c r="B917" s="85"/>
      <c r="C917" s="85"/>
      <c r="D917" s="85"/>
      <c r="E917" s="85"/>
      <c r="F917" s="85"/>
    </row>
    <row r="918">
      <c r="A918" s="85"/>
      <c r="B918" s="85"/>
      <c r="C918" s="85"/>
      <c r="D918" s="85"/>
      <c r="E918" s="85"/>
      <c r="F918" s="85"/>
    </row>
    <row r="919">
      <c r="A919" s="85"/>
      <c r="B919" s="85"/>
      <c r="C919" s="85"/>
      <c r="D919" s="85"/>
      <c r="E919" s="85"/>
      <c r="F919" s="85"/>
    </row>
    <row r="920">
      <c r="A920" s="85"/>
      <c r="B920" s="85"/>
      <c r="C920" s="85"/>
      <c r="D920" s="85"/>
      <c r="E920" s="85"/>
      <c r="F920" s="85"/>
    </row>
    <row r="921">
      <c r="A921" s="85"/>
      <c r="B921" s="85"/>
      <c r="C921" s="85"/>
      <c r="D921" s="85"/>
      <c r="E921" s="85"/>
      <c r="F921" s="85"/>
    </row>
    <row r="922">
      <c r="A922" s="85"/>
      <c r="B922" s="85"/>
      <c r="C922" s="85"/>
      <c r="D922" s="85"/>
      <c r="E922" s="85"/>
      <c r="F922" s="85"/>
    </row>
    <row r="923">
      <c r="A923" s="85"/>
      <c r="B923" s="85"/>
      <c r="C923" s="85"/>
      <c r="D923" s="85"/>
      <c r="E923" s="85"/>
      <c r="F923" s="85"/>
    </row>
    <row r="924">
      <c r="A924" s="85"/>
      <c r="B924" s="85"/>
      <c r="C924" s="85"/>
      <c r="D924" s="85"/>
      <c r="E924" s="85"/>
      <c r="F924" s="85"/>
    </row>
    <row r="925">
      <c r="A925" s="85"/>
      <c r="B925" s="85"/>
      <c r="C925" s="85"/>
      <c r="D925" s="85"/>
      <c r="E925" s="85"/>
      <c r="F925" s="85"/>
    </row>
    <row r="926">
      <c r="A926" s="85"/>
      <c r="B926" s="85"/>
      <c r="C926" s="85"/>
      <c r="D926" s="85"/>
      <c r="E926" s="85"/>
      <c r="F926" s="85"/>
    </row>
    <row r="927">
      <c r="A927" s="85"/>
      <c r="B927" s="85"/>
      <c r="C927" s="85"/>
      <c r="D927" s="85"/>
      <c r="E927" s="85"/>
      <c r="F927" s="85"/>
    </row>
    <row r="928">
      <c r="A928" s="85"/>
      <c r="B928" s="85"/>
      <c r="C928" s="85"/>
      <c r="D928" s="85"/>
      <c r="E928" s="85"/>
      <c r="F928" s="85"/>
    </row>
    <row r="929">
      <c r="A929" s="85"/>
      <c r="B929" s="85"/>
      <c r="C929" s="85"/>
      <c r="D929" s="85"/>
      <c r="E929" s="85"/>
      <c r="F929" s="85"/>
    </row>
    <row r="930">
      <c r="A930" s="85"/>
      <c r="B930" s="85"/>
      <c r="C930" s="85"/>
      <c r="D930" s="85"/>
      <c r="E930" s="85"/>
      <c r="F930" s="85"/>
    </row>
    <row r="931">
      <c r="A931" s="85"/>
      <c r="B931" s="85"/>
      <c r="C931" s="85"/>
      <c r="D931" s="85"/>
      <c r="E931" s="85"/>
      <c r="F931" s="85"/>
    </row>
    <row r="932">
      <c r="A932" s="85"/>
      <c r="B932" s="85"/>
      <c r="C932" s="85"/>
      <c r="D932" s="85"/>
      <c r="E932" s="85"/>
      <c r="F932" s="85"/>
    </row>
    <row r="933">
      <c r="A933" s="85"/>
      <c r="B933" s="85"/>
      <c r="C933" s="85"/>
      <c r="D933" s="85"/>
      <c r="E933" s="85"/>
      <c r="F933" s="85"/>
    </row>
    <row r="934">
      <c r="A934" s="85"/>
      <c r="B934" s="85"/>
      <c r="C934" s="85"/>
      <c r="D934" s="85"/>
      <c r="E934" s="85"/>
      <c r="F934" s="85"/>
    </row>
    <row r="935">
      <c r="A935" s="85"/>
      <c r="B935" s="85"/>
      <c r="C935" s="85"/>
      <c r="D935" s="85"/>
      <c r="E935" s="85"/>
      <c r="F935" s="85"/>
    </row>
    <row r="936">
      <c r="A936" s="85"/>
      <c r="B936" s="85"/>
      <c r="C936" s="85"/>
      <c r="D936" s="85"/>
      <c r="E936" s="85"/>
      <c r="F936" s="85"/>
    </row>
    <row r="937">
      <c r="A937" s="85"/>
      <c r="B937" s="85"/>
      <c r="C937" s="85"/>
      <c r="D937" s="85"/>
      <c r="E937" s="85"/>
      <c r="F937" s="85"/>
    </row>
    <row r="938">
      <c r="A938" s="85"/>
      <c r="B938" s="85"/>
      <c r="C938" s="85"/>
      <c r="D938" s="85"/>
      <c r="E938" s="85"/>
      <c r="F938" s="85"/>
    </row>
    <row r="939">
      <c r="A939" s="85"/>
      <c r="B939" s="85"/>
      <c r="C939" s="85"/>
      <c r="D939" s="85"/>
      <c r="E939" s="85"/>
      <c r="F939" s="85"/>
    </row>
    <row r="940">
      <c r="A940" s="85"/>
      <c r="B940" s="85"/>
      <c r="C940" s="85"/>
      <c r="D940" s="85"/>
      <c r="E940" s="85"/>
      <c r="F940" s="85"/>
    </row>
    <row r="941">
      <c r="A941" s="85"/>
      <c r="B941" s="85"/>
      <c r="C941" s="85"/>
      <c r="D941" s="85"/>
      <c r="E941" s="85"/>
      <c r="F941" s="85"/>
    </row>
    <row r="942">
      <c r="A942" s="85"/>
      <c r="B942" s="85"/>
      <c r="C942" s="85"/>
      <c r="D942" s="85"/>
      <c r="E942" s="85"/>
      <c r="F942" s="85"/>
    </row>
    <row r="943">
      <c r="A943" s="85"/>
      <c r="B943" s="85"/>
      <c r="C943" s="85"/>
      <c r="D943" s="85"/>
      <c r="E943" s="85"/>
      <c r="F943" s="85"/>
    </row>
    <row r="944">
      <c r="A944" s="85"/>
      <c r="B944" s="85"/>
      <c r="C944" s="85"/>
      <c r="D944" s="85"/>
      <c r="E944" s="85"/>
      <c r="F944" s="85"/>
    </row>
    <row r="945">
      <c r="A945" s="85"/>
      <c r="B945" s="85"/>
      <c r="C945" s="85"/>
      <c r="D945" s="85"/>
      <c r="E945" s="85"/>
      <c r="F945" s="85"/>
    </row>
    <row r="946">
      <c r="A946" s="85"/>
      <c r="B946" s="85"/>
      <c r="C946" s="85"/>
      <c r="D946" s="85"/>
      <c r="E946" s="85"/>
      <c r="F946" s="85"/>
    </row>
    <row r="947">
      <c r="A947" s="85"/>
      <c r="B947" s="85"/>
      <c r="C947" s="85"/>
      <c r="D947" s="85"/>
      <c r="E947" s="85"/>
      <c r="F947" s="85"/>
    </row>
    <row r="948">
      <c r="A948" s="85"/>
      <c r="B948" s="85"/>
      <c r="C948" s="85"/>
      <c r="D948" s="85"/>
      <c r="E948" s="85"/>
      <c r="F948" s="85"/>
    </row>
    <row r="949">
      <c r="A949" s="85"/>
      <c r="B949" s="85"/>
      <c r="C949" s="85"/>
      <c r="D949" s="85"/>
      <c r="E949" s="85"/>
      <c r="F949" s="85"/>
    </row>
    <row r="950">
      <c r="A950" s="85"/>
      <c r="B950" s="85"/>
      <c r="C950" s="85"/>
      <c r="D950" s="85"/>
      <c r="E950" s="85"/>
      <c r="F950" s="85"/>
    </row>
    <row r="951">
      <c r="A951" s="85"/>
      <c r="B951" s="85"/>
      <c r="C951" s="85"/>
      <c r="D951" s="85"/>
      <c r="E951" s="85"/>
      <c r="F951" s="85"/>
    </row>
    <row r="952">
      <c r="A952" s="85"/>
      <c r="B952" s="85"/>
      <c r="C952" s="85"/>
      <c r="D952" s="85"/>
      <c r="E952" s="85"/>
      <c r="F952" s="85"/>
    </row>
    <row r="953">
      <c r="A953" s="85"/>
      <c r="B953" s="85"/>
      <c r="C953" s="85"/>
      <c r="D953" s="85"/>
      <c r="E953" s="85"/>
      <c r="F953" s="85"/>
    </row>
    <row r="954">
      <c r="A954" s="85"/>
      <c r="B954" s="85"/>
      <c r="C954" s="85"/>
      <c r="D954" s="85"/>
      <c r="E954" s="85"/>
      <c r="F954" s="85"/>
    </row>
    <row r="955">
      <c r="A955" s="85"/>
      <c r="B955" s="85"/>
      <c r="C955" s="85"/>
      <c r="D955" s="85"/>
      <c r="E955" s="85"/>
      <c r="F955" s="85"/>
    </row>
    <row r="956">
      <c r="A956" s="85"/>
      <c r="B956" s="85"/>
      <c r="C956" s="85"/>
      <c r="D956" s="85"/>
      <c r="E956" s="85"/>
      <c r="F956" s="85"/>
    </row>
    <row r="957">
      <c r="A957" s="85"/>
      <c r="B957" s="85"/>
      <c r="C957" s="85"/>
      <c r="D957" s="85"/>
      <c r="E957" s="85"/>
      <c r="F957" s="85"/>
    </row>
    <row r="958">
      <c r="A958" s="85"/>
      <c r="B958" s="85"/>
      <c r="C958" s="85"/>
      <c r="D958" s="85"/>
      <c r="E958" s="85"/>
      <c r="F958" s="85"/>
    </row>
    <row r="959">
      <c r="A959" s="85"/>
      <c r="B959" s="85"/>
      <c r="C959" s="85"/>
      <c r="D959" s="85"/>
      <c r="E959" s="85"/>
      <c r="F959" s="85"/>
    </row>
    <row r="960">
      <c r="A960" s="85"/>
      <c r="B960" s="85"/>
      <c r="C960" s="85"/>
      <c r="D960" s="85"/>
      <c r="E960" s="85"/>
      <c r="F960" s="85"/>
    </row>
    <row r="961">
      <c r="A961" s="85"/>
      <c r="B961" s="85"/>
      <c r="C961" s="85"/>
      <c r="D961" s="85"/>
      <c r="E961" s="85"/>
      <c r="F961" s="85"/>
    </row>
    <row r="962">
      <c r="A962" s="85"/>
      <c r="B962" s="85"/>
      <c r="C962" s="85"/>
      <c r="D962" s="85"/>
      <c r="E962" s="85"/>
      <c r="F962" s="85"/>
    </row>
    <row r="963">
      <c r="A963" s="85"/>
      <c r="B963" s="85"/>
      <c r="C963" s="85"/>
      <c r="D963" s="85"/>
      <c r="E963" s="85"/>
      <c r="F963" s="85"/>
    </row>
    <row r="964">
      <c r="A964" s="85"/>
      <c r="B964" s="85"/>
      <c r="C964" s="85"/>
      <c r="D964" s="85"/>
      <c r="E964" s="85"/>
      <c r="F964" s="85"/>
    </row>
    <row r="965">
      <c r="A965" s="85"/>
      <c r="B965" s="85"/>
      <c r="C965" s="85"/>
      <c r="D965" s="85"/>
      <c r="E965" s="85"/>
      <c r="F965" s="85"/>
    </row>
    <row r="966">
      <c r="A966" s="85"/>
      <c r="B966" s="85"/>
      <c r="C966" s="85"/>
      <c r="D966" s="85"/>
      <c r="E966" s="85"/>
      <c r="F966" s="85"/>
    </row>
    <row r="967">
      <c r="A967" s="85"/>
      <c r="B967" s="85"/>
      <c r="C967" s="85"/>
      <c r="D967" s="85"/>
      <c r="E967" s="85"/>
      <c r="F967" s="85"/>
    </row>
    <row r="968">
      <c r="A968" s="85"/>
      <c r="B968" s="85"/>
      <c r="C968" s="85"/>
      <c r="D968" s="85"/>
      <c r="E968" s="85"/>
      <c r="F968" s="85"/>
    </row>
    <row r="969">
      <c r="A969" s="85"/>
      <c r="B969" s="85"/>
      <c r="C969" s="85"/>
      <c r="D969" s="85"/>
      <c r="E969" s="85"/>
      <c r="F969" s="85"/>
    </row>
    <row r="970">
      <c r="A970" s="85"/>
      <c r="B970" s="85"/>
      <c r="C970" s="85"/>
      <c r="D970" s="85"/>
      <c r="E970" s="85"/>
      <c r="F970" s="85"/>
    </row>
    <row r="971">
      <c r="A971" s="85"/>
      <c r="B971" s="85"/>
      <c r="C971" s="85"/>
      <c r="D971" s="85"/>
      <c r="E971" s="85"/>
      <c r="F971" s="85"/>
    </row>
    <row r="972">
      <c r="A972" s="85"/>
      <c r="B972" s="85"/>
      <c r="C972" s="85"/>
      <c r="D972" s="85"/>
      <c r="E972" s="85"/>
      <c r="F972" s="85"/>
    </row>
    <row r="973">
      <c r="A973" s="85"/>
      <c r="B973" s="85"/>
      <c r="C973" s="85"/>
      <c r="D973" s="85"/>
      <c r="E973" s="85"/>
      <c r="F973" s="85"/>
    </row>
    <row r="974">
      <c r="A974" s="85"/>
      <c r="B974" s="85"/>
      <c r="C974" s="85"/>
      <c r="D974" s="85"/>
      <c r="E974" s="85"/>
      <c r="F974" s="85"/>
    </row>
    <row r="975">
      <c r="A975" s="85"/>
      <c r="B975" s="85"/>
      <c r="C975" s="85"/>
      <c r="D975" s="85"/>
      <c r="E975" s="85"/>
      <c r="F975" s="85"/>
    </row>
    <row r="976">
      <c r="A976" s="85"/>
      <c r="B976" s="85"/>
      <c r="C976" s="85"/>
      <c r="D976" s="85"/>
      <c r="E976" s="85"/>
      <c r="F976" s="85"/>
    </row>
    <row r="977">
      <c r="A977" s="85"/>
      <c r="B977" s="85"/>
      <c r="C977" s="85"/>
      <c r="D977" s="85"/>
      <c r="E977" s="85"/>
      <c r="F977" s="85"/>
    </row>
    <row r="978">
      <c r="A978" s="85"/>
      <c r="B978" s="85"/>
      <c r="C978" s="85"/>
      <c r="D978" s="85"/>
      <c r="E978" s="85"/>
      <c r="F978" s="85"/>
    </row>
    <row r="979">
      <c r="A979" s="85"/>
      <c r="B979" s="85"/>
      <c r="C979" s="85"/>
      <c r="D979" s="85"/>
      <c r="E979" s="85"/>
      <c r="F979" s="85"/>
    </row>
    <row r="980">
      <c r="A980" s="85"/>
      <c r="B980" s="85"/>
      <c r="C980" s="85"/>
      <c r="D980" s="85"/>
      <c r="E980" s="85"/>
      <c r="F980" s="85"/>
    </row>
    <row r="981">
      <c r="A981" s="85"/>
      <c r="B981" s="85"/>
      <c r="C981" s="85"/>
      <c r="D981" s="85"/>
      <c r="E981" s="85"/>
      <c r="F981" s="85"/>
    </row>
    <row r="982">
      <c r="A982" s="85"/>
      <c r="B982" s="85"/>
      <c r="C982" s="85"/>
      <c r="D982" s="85"/>
      <c r="E982" s="85"/>
      <c r="F982" s="85"/>
    </row>
    <row r="983">
      <c r="A983" s="85"/>
      <c r="B983" s="85"/>
      <c r="C983" s="85"/>
      <c r="D983" s="85"/>
      <c r="E983" s="85"/>
      <c r="F983" s="85"/>
    </row>
    <row r="984">
      <c r="A984" s="85"/>
      <c r="B984" s="85"/>
      <c r="C984" s="85"/>
      <c r="D984" s="85"/>
      <c r="E984" s="85"/>
      <c r="F984" s="85"/>
    </row>
    <row r="985">
      <c r="A985" s="85"/>
      <c r="B985" s="85"/>
      <c r="C985" s="85"/>
      <c r="D985" s="85"/>
      <c r="E985" s="85"/>
      <c r="F985" s="85"/>
    </row>
    <row r="986">
      <c r="A986" s="85"/>
      <c r="B986" s="85"/>
      <c r="C986" s="85"/>
      <c r="D986" s="85"/>
      <c r="E986" s="85"/>
      <c r="F986" s="85"/>
    </row>
    <row r="987">
      <c r="A987" s="85"/>
      <c r="B987" s="85"/>
      <c r="C987" s="85"/>
      <c r="D987" s="85"/>
      <c r="E987" s="85"/>
      <c r="F987" s="85"/>
    </row>
    <row r="988">
      <c r="A988" s="85"/>
      <c r="B988" s="85"/>
      <c r="C988" s="85"/>
      <c r="D988" s="85"/>
      <c r="E988" s="85"/>
      <c r="F988" s="85"/>
    </row>
    <row r="989">
      <c r="A989" s="85"/>
      <c r="B989" s="85"/>
      <c r="C989" s="85"/>
      <c r="D989" s="85"/>
      <c r="E989" s="85"/>
      <c r="F989" s="85"/>
    </row>
    <row r="990">
      <c r="A990" s="85"/>
      <c r="B990" s="85"/>
      <c r="C990" s="85"/>
      <c r="D990" s="85"/>
      <c r="E990" s="85"/>
      <c r="F990" s="85"/>
    </row>
    <row r="991">
      <c r="B991" s="85"/>
      <c r="C991" s="85"/>
      <c r="D991" s="85"/>
      <c r="E991" s="85"/>
      <c r="F991" s="85"/>
    </row>
    <row r="992">
      <c r="B992" s="85"/>
      <c r="C992" s="85"/>
      <c r="D992" s="85"/>
      <c r="E992" s="85"/>
      <c r="F992" s="85"/>
    </row>
    <row r="993">
      <c r="B993" s="85"/>
      <c r="C993" s="85"/>
      <c r="D993" s="85"/>
      <c r="E993" s="85"/>
      <c r="F993" s="85"/>
    </row>
    <row r="994">
      <c r="B994" s="85"/>
      <c r="C994" s="85"/>
      <c r="D994" s="85"/>
      <c r="E994" s="85"/>
      <c r="F994" s="85"/>
    </row>
    <row r="995">
      <c r="B995" s="85"/>
      <c r="C995" s="85"/>
      <c r="D995" s="85"/>
      <c r="E995" s="85"/>
      <c r="F995" s="85"/>
    </row>
    <row r="996">
      <c r="B996" s="85"/>
      <c r="C996" s="85"/>
      <c r="D996" s="85"/>
      <c r="E996" s="85"/>
      <c r="F996" s="85"/>
    </row>
    <row r="997">
      <c r="B997" s="85"/>
      <c r="C997" s="85"/>
      <c r="D997" s="85"/>
      <c r="E997" s="85"/>
      <c r="F997" s="85"/>
    </row>
    <row r="998">
      <c r="B998" s="85"/>
      <c r="C998" s="85"/>
      <c r="D998" s="85"/>
      <c r="E998" s="85"/>
      <c r="F998" s="85"/>
    </row>
    <row r="999">
      <c r="B999" s="85"/>
      <c r="C999" s="85"/>
      <c r="D999" s="85"/>
      <c r="E999" s="85"/>
      <c r="F999" s="85"/>
    </row>
    <row r="1000">
      <c r="B1000" s="85"/>
      <c r="C1000" s="85"/>
      <c r="D1000" s="85"/>
      <c r="E1000" s="85"/>
      <c r="F1000" s="8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85" t="str">
        <f t="array" ref="A1">'Riesgos Positivos'!E7:E1000</f>
        <v>#REF!</v>
      </c>
      <c r="B1" s="85" t="str">
        <f>IFERROR(__xludf.DUMMYFUNCTION("BYROW(A1:A1000, LAMBDA(x, TRANSPOSE(UNIQUE(FILTER(Categorias!$B$13:$B$1000, Categorias!$A$13:$A$1000=x)))))"),"#N/A")</f>
        <v>#N/A</v>
      </c>
      <c r="C1" s="85"/>
      <c r="D1" s="85"/>
      <c r="E1" s="85"/>
      <c r="F1" s="85"/>
    </row>
    <row r="2">
      <c r="A2" s="85"/>
      <c r="B2" s="85"/>
      <c r="C2" s="85"/>
      <c r="D2" s="85"/>
      <c r="E2" s="85"/>
      <c r="F2" s="85"/>
    </row>
    <row r="3">
      <c r="A3" s="85"/>
      <c r="B3" s="85"/>
      <c r="C3" s="85"/>
      <c r="D3" s="85"/>
      <c r="E3" s="85"/>
      <c r="F3" s="85"/>
    </row>
    <row r="4">
      <c r="A4" s="85"/>
      <c r="B4" s="85"/>
      <c r="C4" s="85"/>
      <c r="D4" s="85"/>
      <c r="E4" s="85"/>
      <c r="F4" s="85"/>
    </row>
    <row r="5">
      <c r="A5" s="85"/>
      <c r="B5" s="85"/>
      <c r="C5" s="85"/>
      <c r="D5" s="85"/>
      <c r="E5" s="85"/>
      <c r="F5" s="85"/>
    </row>
    <row r="6">
      <c r="A6" s="85"/>
      <c r="B6" s="85"/>
      <c r="C6" s="85"/>
      <c r="D6" s="85"/>
      <c r="E6" s="85"/>
      <c r="F6" s="85"/>
    </row>
    <row r="7">
      <c r="A7" s="85"/>
      <c r="B7" s="85"/>
      <c r="C7" s="85"/>
      <c r="D7" s="85"/>
      <c r="E7" s="85"/>
      <c r="F7" s="85"/>
    </row>
    <row r="8">
      <c r="A8" s="85"/>
      <c r="B8" s="85"/>
      <c r="C8" s="85"/>
      <c r="D8" s="85"/>
      <c r="E8" s="85"/>
      <c r="F8" s="85"/>
    </row>
    <row r="9">
      <c r="A9" s="85"/>
      <c r="B9" s="85"/>
      <c r="C9" s="85"/>
      <c r="D9" s="85"/>
      <c r="E9" s="85"/>
      <c r="F9" s="85"/>
    </row>
    <row r="10">
      <c r="A10" s="85"/>
      <c r="B10" s="85"/>
      <c r="C10" s="85"/>
      <c r="D10" s="85"/>
      <c r="E10" s="85"/>
      <c r="F10" s="85"/>
    </row>
    <row r="11">
      <c r="A11" s="85"/>
      <c r="B11" s="85"/>
      <c r="C11" s="85"/>
      <c r="D11" s="85"/>
      <c r="E11" s="85"/>
      <c r="F11" s="85"/>
    </row>
    <row r="12">
      <c r="A12" s="85"/>
      <c r="B12" s="85"/>
      <c r="C12" s="85"/>
      <c r="D12" s="85"/>
      <c r="E12" s="85"/>
      <c r="F12" s="85"/>
    </row>
    <row r="13">
      <c r="A13" s="85"/>
      <c r="B13" s="85"/>
      <c r="C13" s="85"/>
      <c r="D13" s="85"/>
      <c r="E13" s="85"/>
      <c r="F13" s="85"/>
    </row>
    <row r="14">
      <c r="A14" s="85"/>
      <c r="B14" s="85"/>
      <c r="C14" s="85"/>
      <c r="D14" s="85"/>
      <c r="E14" s="85"/>
      <c r="F14" s="85"/>
    </row>
    <row r="15">
      <c r="A15" s="85"/>
      <c r="B15" s="85"/>
      <c r="C15" s="85"/>
      <c r="D15" s="85"/>
      <c r="E15" s="85"/>
      <c r="F15" s="85"/>
    </row>
    <row r="16">
      <c r="A16" s="85"/>
      <c r="B16" s="85"/>
      <c r="C16" s="85"/>
      <c r="D16" s="85"/>
      <c r="E16" s="85"/>
      <c r="F16" s="85"/>
    </row>
    <row r="17">
      <c r="A17" s="85"/>
      <c r="B17" s="85"/>
      <c r="C17" s="85"/>
      <c r="D17" s="85"/>
      <c r="E17" s="85"/>
      <c r="F17" s="85"/>
    </row>
    <row r="18">
      <c r="A18" s="85"/>
      <c r="B18" s="85"/>
      <c r="C18" s="85"/>
      <c r="D18" s="85"/>
      <c r="E18" s="85"/>
      <c r="F18" s="85"/>
    </row>
    <row r="19">
      <c r="A19" s="85"/>
      <c r="B19" s="85"/>
      <c r="C19" s="85"/>
      <c r="D19" s="85"/>
      <c r="E19" s="85"/>
      <c r="F19" s="85"/>
    </row>
    <row r="20">
      <c r="A20" s="85"/>
      <c r="B20" s="85"/>
      <c r="C20" s="85"/>
      <c r="D20" s="85"/>
      <c r="E20" s="85"/>
      <c r="F20" s="85"/>
    </row>
    <row r="21">
      <c r="A21" s="85"/>
      <c r="B21" s="85"/>
      <c r="C21" s="85"/>
      <c r="D21" s="85"/>
      <c r="E21" s="85"/>
      <c r="F21" s="85"/>
    </row>
    <row r="22">
      <c r="A22" s="85"/>
      <c r="B22" s="85"/>
      <c r="C22" s="85"/>
      <c r="D22" s="85"/>
      <c r="E22" s="85"/>
      <c r="F22" s="85"/>
    </row>
    <row r="23">
      <c r="A23" s="85"/>
      <c r="B23" s="85"/>
      <c r="C23" s="85"/>
      <c r="D23" s="85"/>
      <c r="E23" s="85"/>
      <c r="F23" s="85"/>
    </row>
    <row r="24">
      <c r="A24" s="85"/>
      <c r="B24" s="85"/>
      <c r="C24" s="85"/>
      <c r="D24" s="85"/>
      <c r="E24" s="85"/>
      <c r="F24" s="85"/>
    </row>
    <row r="25">
      <c r="A25" s="85"/>
      <c r="B25" s="85"/>
      <c r="C25" s="85"/>
      <c r="D25" s="85"/>
      <c r="E25" s="85"/>
      <c r="F25" s="85"/>
    </row>
    <row r="26">
      <c r="A26" s="85"/>
      <c r="B26" s="85"/>
      <c r="C26" s="85"/>
      <c r="D26" s="85"/>
      <c r="E26" s="85"/>
      <c r="F26" s="85"/>
    </row>
    <row r="27">
      <c r="A27" s="85"/>
      <c r="B27" s="85"/>
      <c r="C27" s="85"/>
      <c r="D27" s="85"/>
      <c r="E27" s="85"/>
      <c r="F27" s="85"/>
    </row>
    <row r="28">
      <c r="A28" s="85"/>
      <c r="B28" s="85"/>
      <c r="C28" s="85"/>
      <c r="D28" s="85"/>
      <c r="E28" s="85"/>
      <c r="F28" s="85"/>
    </row>
    <row r="29">
      <c r="A29" s="85"/>
      <c r="B29" s="85"/>
      <c r="C29" s="85"/>
      <c r="D29" s="85"/>
      <c r="E29" s="85"/>
      <c r="F29" s="85"/>
    </row>
    <row r="30">
      <c r="A30" s="85"/>
      <c r="B30" s="85"/>
      <c r="C30" s="85"/>
      <c r="D30" s="85"/>
      <c r="E30" s="85"/>
      <c r="F30" s="85"/>
    </row>
    <row r="31">
      <c r="A31" s="85"/>
      <c r="B31" s="85"/>
      <c r="C31" s="85"/>
      <c r="D31" s="85"/>
      <c r="E31" s="85"/>
      <c r="F31" s="85"/>
    </row>
    <row r="32">
      <c r="A32" s="85"/>
      <c r="B32" s="85"/>
      <c r="C32" s="85"/>
      <c r="D32" s="85"/>
      <c r="E32" s="85"/>
      <c r="F32" s="85"/>
    </row>
    <row r="33">
      <c r="A33" s="85"/>
      <c r="B33" s="85"/>
      <c r="C33" s="85"/>
      <c r="D33" s="85"/>
      <c r="E33" s="85"/>
      <c r="F33" s="85"/>
    </row>
    <row r="34">
      <c r="A34" s="85"/>
      <c r="B34" s="85"/>
      <c r="C34" s="85"/>
      <c r="D34" s="85"/>
      <c r="E34" s="85"/>
      <c r="F34" s="85"/>
    </row>
    <row r="35">
      <c r="A35" s="85"/>
      <c r="B35" s="85"/>
      <c r="C35" s="85"/>
      <c r="D35" s="85"/>
      <c r="E35" s="85"/>
      <c r="F35" s="85"/>
    </row>
    <row r="36">
      <c r="A36" s="85"/>
      <c r="B36" s="85"/>
      <c r="C36" s="85"/>
      <c r="D36" s="85"/>
      <c r="E36" s="85"/>
      <c r="F36" s="85"/>
    </row>
    <row r="37">
      <c r="A37" s="85"/>
      <c r="B37" s="85"/>
      <c r="C37" s="85"/>
      <c r="D37" s="85"/>
      <c r="E37" s="85"/>
      <c r="F37" s="85"/>
    </row>
    <row r="38">
      <c r="A38" s="85"/>
      <c r="B38" s="85"/>
      <c r="C38" s="85"/>
      <c r="D38" s="85"/>
      <c r="E38" s="85"/>
      <c r="F38" s="85"/>
    </row>
    <row r="39">
      <c r="A39" s="85"/>
      <c r="B39" s="85"/>
      <c r="C39" s="85"/>
      <c r="D39" s="85"/>
      <c r="E39" s="85"/>
      <c r="F39" s="85"/>
    </row>
    <row r="40">
      <c r="A40" s="85"/>
      <c r="B40" s="85"/>
      <c r="C40" s="85"/>
      <c r="D40" s="85"/>
      <c r="E40" s="85"/>
      <c r="F40" s="85"/>
    </row>
    <row r="41">
      <c r="A41" s="85"/>
      <c r="B41" s="85"/>
      <c r="C41" s="85"/>
      <c r="D41" s="85"/>
      <c r="E41" s="85"/>
      <c r="F41" s="85"/>
    </row>
    <row r="42">
      <c r="A42" s="85"/>
      <c r="B42" s="85"/>
      <c r="C42" s="85"/>
      <c r="D42" s="85"/>
      <c r="E42" s="85"/>
      <c r="F42" s="85"/>
    </row>
    <row r="43">
      <c r="A43" s="85"/>
      <c r="B43" s="85"/>
      <c r="C43" s="85"/>
      <c r="D43" s="85"/>
      <c r="E43" s="85"/>
      <c r="F43" s="85"/>
    </row>
    <row r="44">
      <c r="A44" s="85"/>
      <c r="B44" s="85"/>
      <c r="C44" s="85"/>
      <c r="D44" s="85"/>
      <c r="E44" s="85"/>
      <c r="F44" s="85"/>
    </row>
    <row r="45">
      <c r="A45" s="85"/>
      <c r="B45" s="85"/>
      <c r="C45" s="85"/>
      <c r="D45" s="85"/>
      <c r="E45" s="85"/>
      <c r="F45" s="85"/>
    </row>
    <row r="46">
      <c r="A46" s="85"/>
      <c r="B46" s="85"/>
      <c r="C46" s="85"/>
      <c r="D46" s="85"/>
      <c r="E46" s="85"/>
      <c r="F46" s="85"/>
    </row>
    <row r="47">
      <c r="A47" s="85"/>
      <c r="B47" s="85"/>
      <c r="C47" s="85"/>
      <c r="D47" s="85"/>
      <c r="E47" s="85"/>
      <c r="F47" s="85"/>
    </row>
    <row r="48">
      <c r="A48" s="85"/>
      <c r="B48" s="85"/>
      <c r="C48" s="85"/>
      <c r="D48" s="85"/>
      <c r="E48" s="85"/>
      <c r="F48" s="85"/>
    </row>
    <row r="49">
      <c r="A49" s="85"/>
      <c r="B49" s="85"/>
      <c r="C49" s="85"/>
      <c r="D49" s="85"/>
      <c r="E49" s="85"/>
      <c r="F49" s="85"/>
    </row>
    <row r="50">
      <c r="A50" s="85"/>
      <c r="B50" s="85"/>
      <c r="C50" s="85"/>
      <c r="D50" s="85"/>
      <c r="E50" s="85"/>
      <c r="F50" s="85"/>
    </row>
    <row r="51">
      <c r="A51" s="85"/>
      <c r="B51" s="85"/>
      <c r="C51" s="85"/>
      <c r="D51" s="85"/>
      <c r="E51" s="85"/>
      <c r="F51" s="85"/>
    </row>
    <row r="52">
      <c r="A52" s="85"/>
      <c r="B52" s="85"/>
      <c r="C52" s="85"/>
      <c r="D52" s="85"/>
      <c r="E52" s="85"/>
      <c r="F52" s="85"/>
    </row>
    <row r="53">
      <c r="A53" s="85"/>
      <c r="B53" s="85"/>
      <c r="C53" s="85"/>
      <c r="D53" s="85"/>
      <c r="E53" s="85"/>
      <c r="F53" s="85"/>
    </row>
    <row r="54">
      <c r="A54" s="85"/>
      <c r="B54" s="85"/>
      <c r="C54" s="85"/>
      <c r="D54" s="85"/>
      <c r="E54" s="85"/>
      <c r="F54" s="85"/>
    </row>
    <row r="55">
      <c r="A55" s="85"/>
      <c r="B55" s="85"/>
      <c r="C55" s="85"/>
      <c r="D55" s="85"/>
      <c r="E55" s="85"/>
      <c r="F55" s="85"/>
    </row>
    <row r="56">
      <c r="A56" s="85"/>
      <c r="B56" s="85"/>
      <c r="C56" s="85"/>
      <c r="D56" s="85"/>
      <c r="E56" s="85"/>
      <c r="F56" s="85"/>
    </row>
    <row r="57">
      <c r="A57" s="85"/>
      <c r="B57" s="85"/>
      <c r="C57" s="85"/>
      <c r="D57" s="85"/>
      <c r="E57" s="85"/>
      <c r="F57" s="85"/>
    </row>
    <row r="58">
      <c r="A58" s="85"/>
      <c r="B58" s="85"/>
      <c r="C58" s="85"/>
      <c r="D58" s="85"/>
      <c r="E58" s="85"/>
      <c r="F58" s="85"/>
    </row>
    <row r="59">
      <c r="A59" s="85"/>
      <c r="B59" s="85"/>
      <c r="C59" s="85"/>
      <c r="D59" s="85"/>
      <c r="E59" s="85"/>
      <c r="F59" s="85"/>
    </row>
    <row r="60">
      <c r="A60" s="85"/>
      <c r="B60" s="85"/>
      <c r="C60" s="85"/>
      <c r="D60" s="85"/>
      <c r="E60" s="85"/>
      <c r="F60" s="85"/>
    </row>
    <row r="61">
      <c r="A61" s="85"/>
      <c r="B61" s="85"/>
      <c r="C61" s="85"/>
      <c r="D61" s="85"/>
      <c r="E61" s="85"/>
      <c r="F61" s="85"/>
    </row>
    <row r="62">
      <c r="A62" s="85"/>
      <c r="B62" s="85"/>
      <c r="C62" s="85"/>
      <c r="D62" s="85"/>
      <c r="E62" s="85"/>
      <c r="F62" s="85"/>
    </row>
    <row r="63">
      <c r="A63" s="85"/>
      <c r="B63" s="85"/>
      <c r="C63" s="85"/>
      <c r="D63" s="85"/>
      <c r="E63" s="85"/>
      <c r="F63" s="85"/>
    </row>
    <row r="64">
      <c r="A64" s="85"/>
      <c r="B64" s="85"/>
      <c r="C64" s="85"/>
      <c r="D64" s="85"/>
      <c r="E64" s="85"/>
      <c r="F64" s="85"/>
    </row>
    <row r="65">
      <c r="A65" s="85"/>
      <c r="B65" s="85"/>
      <c r="C65" s="85"/>
      <c r="D65" s="85"/>
      <c r="E65" s="85"/>
      <c r="F65" s="85"/>
    </row>
    <row r="66">
      <c r="A66" s="85"/>
      <c r="B66" s="85"/>
      <c r="C66" s="85"/>
      <c r="D66" s="85"/>
      <c r="E66" s="85"/>
      <c r="F66" s="85"/>
    </row>
    <row r="67">
      <c r="A67" s="85"/>
      <c r="B67" s="85"/>
      <c r="C67" s="85"/>
      <c r="D67" s="85"/>
      <c r="E67" s="85"/>
      <c r="F67" s="85"/>
    </row>
    <row r="68">
      <c r="A68" s="85"/>
      <c r="B68" s="85"/>
      <c r="C68" s="85"/>
      <c r="D68" s="85"/>
      <c r="E68" s="85"/>
      <c r="F68" s="85"/>
    </row>
    <row r="69">
      <c r="A69" s="85"/>
      <c r="B69" s="85"/>
      <c r="C69" s="85"/>
      <c r="D69" s="85"/>
      <c r="E69" s="85"/>
      <c r="F69" s="85"/>
    </row>
    <row r="70">
      <c r="A70" s="85"/>
      <c r="B70" s="85"/>
      <c r="C70" s="85"/>
      <c r="D70" s="85"/>
      <c r="E70" s="85"/>
      <c r="F70" s="85"/>
    </row>
    <row r="71">
      <c r="A71" s="85"/>
      <c r="B71" s="85"/>
      <c r="C71" s="85"/>
      <c r="D71" s="85"/>
      <c r="E71" s="85"/>
      <c r="F71" s="85"/>
    </row>
    <row r="72">
      <c r="A72" s="85"/>
      <c r="B72" s="85"/>
      <c r="C72" s="85"/>
      <c r="D72" s="85"/>
      <c r="E72" s="85"/>
      <c r="F72" s="85"/>
    </row>
    <row r="73">
      <c r="A73" s="85"/>
      <c r="B73" s="85"/>
      <c r="C73" s="85"/>
      <c r="D73" s="85"/>
      <c r="E73" s="85"/>
      <c r="F73" s="85"/>
    </row>
    <row r="74">
      <c r="A74" s="85"/>
      <c r="B74" s="85"/>
      <c r="C74" s="85"/>
      <c r="D74" s="85"/>
      <c r="E74" s="85"/>
      <c r="F74" s="85"/>
    </row>
    <row r="75">
      <c r="A75" s="85"/>
      <c r="B75" s="85"/>
      <c r="C75" s="85"/>
      <c r="D75" s="85"/>
      <c r="E75" s="85"/>
      <c r="F75" s="85"/>
    </row>
    <row r="76">
      <c r="A76" s="85"/>
      <c r="B76" s="85"/>
      <c r="C76" s="85"/>
      <c r="D76" s="85"/>
      <c r="E76" s="85"/>
      <c r="F76" s="85"/>
    </row>
    <row r="77">
      <c r="A77" s="85"/>
      <c r="B77" s="85"/>
      <c r="C77" s="85"/>
      <c r="D77" s="85"/>
      <c r="E77" s="85"/>
      <c r="F77" s="85"/>
    </row>
    <row r="78">
      <c r="A78" s="85"/>
      <c r="B78" s="85"/>
      <c r="C78" s="85"/>
      <c r="D78" s="85"/>
      <c r="E78" s="85"/>
      <c r="F78" s="85"/>
    </row>
    <row r="79">
      <c r="A79" s="85"/>
      <c r="B79" s="85"/>
      <c r="C79" s="85"/>
      <c r="D79" s="85"/>
      <c r="E79" s="85"/>
      <c r="F79" s="85"/>
    </row>
    <row r="80">
      <c r="A80" s="85"/>
      <c r="B80" s="85"/>
      <c r="C80" s="85"/>
      <c r="D80" s="85"/>
      <c r="E80" s="85"/>
      <c r="F80" s="85"/>
    </row>
    <row r="81">
      <c r="A81" s="85"/>
      <c r="B81" s="85"/>
      <c r="C81" s="85"/>
      <c r="D81" s="85"/>
      <c r="E81" s="85"/>
      <c r="F81" s="85"/>
    </row>
    <row r="82">
      <c r="A82" s="85"/>
      <c r="B82" s="85"/>
      <c r="C82" s="85"/>
      <c r="D82" s="85"/>
      <c r="E82" s="85"/>
      <c r="F82" s="85"/>
    </row>
    <row r="83">
      <c r="A83" s="85"/>
      <c r="B83" s="85"/>
      <c r="C83" s="85"/>
      <c r="D83" s="85"/>
      <c r="E83" s="85"/>
      <c r="F83" s="85"/>
    </row>
    <row r="84">
      <c r="A84" s="85"/>
      <c r="B84" s="85"/>
      <c r="C84" s="85"/>
      <c r="D84" s="85"/>
      <c r="E84" s="85"/>
      <c r="F84" s="85"/>
    </row>
    <row r="85">
      <c r="A85" s="85"/>
      <c r="B85" s="85"/>
      <c r="C85" s="85"/>
      <c r="D85" s="85"/>
      <c r="E85" s="85"/>
      <c r="F85" s="85"/>
    </row>
    <row r="86">
      <c r="A86" s="85"/>
      <c r="B86" s="85"/>
      <c r="C86" s="85"/>
      <c r="D86" s="85"/>
      <c r="E86" s="85"/>
      <c r="F86" s="85"/>
    </row>
    <row r="87">
      <c r="A87" s="85"/>
      <c r="B87" s="85"/>
      <c r="C87" s="85"/>
      <c r="D87" s="85"/>
      <c r="E87" s="85"/>
      <c r="F87" s="85"/>
    </row>
    <row r="88">
      <c r="A88" s="85"/>
      <c r="B88" s="85"/>
      <c r="C88" s="85"/>
      <c r="D88" s="85"/>
      <c r="E88" s="85"/>
      <c r="F88" s="85"/>
    </row>
    <row r="89">
      <c r="A89" s="85"/>
      <c r="B89" s="85"/>
      <c r="C89" s="85"/>
      <c r="D89" s="85"/>
      <c r="E89" s="85"/>
      <c r="F89" s="85"/>
    </row>
    <row r="90">
      <c r="A90" s="85"/>
      <c r="B90" s="85"/>
      <c r="C90" s="85"/>
      <c r="D90" s="85"/>
      <c r="E90" s="85"/>
      <c r="F90" s="85"/>
    </row>
    <row r="91">
      <c r="A91" s="85"/>
      <c r="B91" s="85"/>
      <c r="C91" s="85"/>
      <c r="D91" s="85"/>
      <c r="E91" s="85"/>
      <c r="F91" s="85"/>
    </row>
    <row r="92">
      <c r="A92" s="85"/>
      <c r="B92" s="85"/>
      <c r="C92" s="85"/>
      <c r="D92" s="85"/>
      <c r="E92" s="85"/>
      <c r="F92" s="85"/>
    </row>
    <row r="93">
      <c r="A93" s="85"/>
      <c r="B93" s="85"/>
      <c r="C93" s="85"/>
      <c r="D93" s="85"/>
      <c r="E93" s="85"/>
      <c r="F93" s="85"/>
    </row>
    <row r="94">
      <c r="A94" s="85"/>
      <c r="B94" s="85"/>
      <c r="C94" s="85"/>
      <c r="D94" s="85"/>
      <c r="E94" s="85"/>
      <c r="F94" s="85"/>
    </row>
    <row r="95">
      <c r="A95" s="85"/>
      <c r="B95" s="85"/>
      <c r="C95" s="85"/>
      <c r="D95" s="85"/>
      <c r="E95" s="85"/>
      <c r="F95" s="85"/>
    </row>
    <row r="96">
      <c r="A96" s="85"/>
      <c r="B96" s="85"/>
      <c r="C96" s="85"/>
      <c r="D96" s="85"/>
      <c r="E96" s="85"/>
      <c r="F96" s="85"/>
    </row>
    <row r="97">
      <c r="A97" s="85"/>
      <c r="B97" s="85"/>
      <c r="C97" s="85"/>
      <c r="D97" s="85"/>
      <c r="E97" s="85"/>
      <c r="F97" s="85"/>
    </row>
    <row r="98">
      <c r="A98" s="85"/>
      <c r="B98" s="85"/>
      <c r="C98" s="85"/>
      <c r="D98" s="85"/>
      <c r="E98" s="85"/>
      <c r="F98" s="85"/>
    </row>
    <row r="99">
      <c r="A99" s="85"/>
      <c r="B99" s="85"/>
      <c r="C99" s="85"/>
      <c r="D99" s="85"/>
      <c r="E99" s="85"/>
      <c r="F99" s="85"/>
    </row>
    <row r="100">
      <c r="A100" s="85"/>
      <c r="B100" s="85"/>
      <c r="C100" s="85"/>
      <c r="D100" s="85"/>
      <c r="E100" s="85"/>
      <c r="F100" s="85"/>
    </row>
    <row r="101">
      <c r="A101" s="85"/>
      <c r="B101" s="85"/>
      <c r="C101" s="85"/>
      <c r="D101" s="85"/>
      <c r="E101" s="85"/>
      <c r="F101" s="85"/>
    </row>
    <row r="102">
      <c r="A102" s="85"/>
      <c r="B102" s="85"/>
      <c r="C102" s="85"/>
      <c r="D102" s="85"/>
      <c r="E102" s="85"/>
      <c r="F102" s="85"/>
    </row>
    <row r="103">
      <c r="A103" s="85"/>
      <c r="B103" s="85"/>
      <c r="C103" s="85"/>
      <c r="D103" s="85"/>
      <c r="E103" s="85"/>
      <c r="F103" s="85"/>
    </row>
    <row r="104">
      <c r="A104" s="85"/>
      <c r="B104" s="85"/>
      <c r="C104" s="85"/>
      <c r="D104" s="85"/>
      <c r="E104" s="85"/>
      <c r="F104" s="85"/>
    </row>
    <row r="105">
      <c r="A105" s="85"/>
      <c r="B105" s="85"/>
      <c r="C105" s="85"/>
      <c r="D105" s="85"/>
      <c r="E105" s="85"/>
      <c r="F105" s="85"/>
    </row>
    <row r="106">
      <c r="A106" s="85"/>
      <c r="B106" s="85"/>
      <c r="C106" s="85"/>
      <c r="D106" s="85"/>
      <c r="E106" s="85"/>
      <c r="F106" s="85"/>
    </row>
    <row r="107">
      <c r="A107" s="85"/>
      <c r="B107" s="85"/>
      <c r="C107" s="85"/>
      <c r="D107" s="85"/>
      <c r="E107" s="85"/>
      <c r="F107" s="85"/>
    </row>
    <row r="108">
      <c r="A108" s="85"/>
      <c r="B108" s="85"/>
      <c r="C108" s="85"/>
      <c r="D108" s="85"/>
      <c r="E108" s="85"/>
      <c r="F108" s="85"/>
    </row>
    <row r="109">
      <c r="A109" s="85"/>
      <c r="B109" s="85"/>
      <c r="C109" s="85"/>
      <c r="D109" s="85"/>
      <c r="E109" s="85"/>
      <c r="F109" s="85"/>
    </row>
    <row r="110">
      <c r="A110" s="85"/>
      <c r="B110" s="85"/>
      <c r="C110" s="85"/>
      <c r="D110" s="85"/>
      <c r="E110" s="85"/>
      <c r="F110" s="85"/>
    </row>
    <row r="111">
      <c r="A111" s="85"/>
      <c r="B111" s="85"/>
      <c r="C111" s="85"/>
      <c r="D111" s="85"/>
      <c r="E111" s="85"/>
      <c r="F111" s="85"/>
    </row>
    <row r="112">
      <c r="A112" s="85"/>
      <c r="B112" s="85"/>
      <c r="C112" s="85"/>
      <c r="D112" s="85"/>
      <c r="E112" s="85"/>
      <c r="F112" s="85"/>
    </row>
    <row r="113">
      <c r="A113" s="85"/>
      <c r="B113" s="85"/>
      <c r="C113" s="85"/>
      <c r="D113" s="85"/>
      <c r="E113" s="85"/>
      <c r="F113" s="85"/>
    </row>
    <row r="114">
      <c r="A114" s="85"/>
      <c r="B114" s="85"/>
      <c r="C114" s="85"/>
      <c r="D114" s="85"/>
      <c r="E114" s="85"/>
      <c r="F114" s="85"/>
    </row>
    <row r="115">
      <c r="A115" s="85"/>
      <c r="B115" s="85"/>
      <c r="C115" s="85"/>
      <c r="D115" s="85"/>
      <c r="E115" s="85"/>
      <c r="F115" s="85"/>
    </row>
    <row r="116">
      <c r="A116" s="85"/>
      <c r="B116" s="85"/>
      <c r="C116" s="85"/>
      <c r="D116" s="85"/>
      <c r="E116" s="85"/>
      <c r="F116" s="85"/>
    </row>
    <row r="117">
      <c r="A117" s="85"/>
      <c r="B117" s="85"/>
      <c r="C117" s="85"/>
      <c r="D117" s="85"/>
      <c r="E117" s="85"/>
      <c r="F117" s="85"/>
    </row>
    <row r="118">
      <c r="A118" s="85"/>
      <c r="B118" s="85"/>
      <c r="C118" s="85"/>
      <c r="D118" s="85"/>
      <c r="E118" s="85"/>
      <c r="F118" s="85"/>
    </row>
    <row r="119">
      <c r="A119" s="85"/>
      <c r="B119" s="85"/>
      <c r="C119" s="85"/>
      <c r="D119" s="85"/>
      <c r="E119" s="85"/>
      <c r="F119" s="85"/>
    </row>
    <row r="120">
      <c r="A120" s="85"/>
      <c r="B120" s="85"/>
      <c r="C120" s="85"/>
      <c r="D120" s="85"/>
      <c r="E120" s="85"/>
      <c r="F120" s="85"/>
    </row>
    <row r="121">
      <c r="A121" s="85"/>
      <c r="B121" s="85"/>
      <c r="C121" s="85"/>
      <c r="D121" s="85"/>
      <c r="E121" s="85"/>
      <c r="F121" s="85"/>
    </row>
    <row r="122">
      <c r="A122" s="85"/>
      <c r="B122" s="85"/>
      <c r="C122" s="85"/>
      <c r="D122" s="85"/>
      <c r="E122" s="85"/>
      <c r="F122" s="85"/>
    </row>
    <row r="123">
      <c r="A123" s="85"/>
      <c r="B123" s="85"/>
      <c r="C123" s="85"/>
      <c r="D123" s="85"/>
      <c r="E123" s="85"/>
      <c r="F123" s="85"/>
    </row>
    <row r="124">
      <c r="A124" s="85"/>
      <c r="B124" s="85"/>
      <c r="C124" s="85"/>
      <c r="D124" s="85"/>
      <c r="E124" s="85"/>
      <c r="F124" s="85"/>
    </row>
    <row r="125">
      <c r="A125" s="85"/>
      <c r="B125" s="85"/>
      <c r="C125" s="85"/>
      <c r="D125" s="85"/>
      <c r="E125" s="85"/>
      <c r="F125" s="85"/>
    </row>
    <row r="126">
      <c r="A126" s="85"/>
      <c r="B126" s="85"/>
      <c r="C126" s="85"/>
      <c r="D126" s="85"/>
      <c r="E126" s="85"/>
      <c r="F126" s="85"/>
    </row>
    <row r="127">
      <c r="A127" s="85"/>
      <c r="B127" s="85"/>
      <c r="C127" s="85"/>
      <c r="D127" s="85"/>
      <c r="E127" s="85"/>
      <c r="F127" s="85"/>
    </row>
    <row r="128">
      <c r="A128" s="85"/>
      <c r="B128" s="85"/>
      <c r="C128" s="85"/>
      <c r="D128" s="85"/>
      <c r="E128" s="85"/>
      <c r="F128" s="85"/>
    </row>
    <row r="129">
      <c r="A129" s="85"/>
      <c r="B129" s="85"/>
      <c r="C129" s="85"/>
      <c r="D129" s="85"/>
      <c r="E129" s="85"/>
      <c r="F129" s="85"/>
    </row>
    <row r="130">
      <c r="A130" s="85"/>
      <c r="B130" s="85"/>
      <c r="C130" s="85"/>
      <c r="D130" s="85"/>
      <c r="E130" s="85"/>
      <c r="F130" s="85"/>
    </row>
    <row r="131">
      <c r="A131" s="85"/>
      <c r="B131" s="85"/>
      <c r="C131" s="85"/>
      <c r="D131" s="85"/>
      <c r="E131" s="85"/>
      <c r="F131" s="85"/>
    </row>
    <row r="132">
      <c r="A132" s="85"/>
      <c r="B132" s="85"/>
      <c r="C132" s="85"/>
      <c r="D132" s="85"/>
      <c r="E132" s="85"/>
      <c r="F132" s="85"/>
    </row>
    <row r="133">
      <c r="A133" s="85"/>
      <c r="B133" s="85"/>
      <c r="C133" s="85"/>
      <c r="D133" s="85"/>
      <c r="E133" s="85"/>
      <c r="F133" s="85"/>
    </row>
    <row r="134">
      <c r="A134" s="85"/>
      <c r="B134" s="85"/>
      <c r="C134" s="85"/>
      <c r="D134" s="85"/>
      <c r="E134" s="85"/>
      <c r="F134" s="85"/>
    </row>
    <row r="135">
      <c r="A135" s="85"/>
      <c r="B135" s="85"/>
      <c r="C135" s="85"/>
      <c r="D135" s="85"/>
      <c r="E135" s="85"/>
      <c r="F135" s="85"/>
    </row>
    <row r="136">
      <c r="A136" s="85"/>
      <c r="B136" s="85"/>
      <c r="C136" s="85"/>
      <c r="D136" s="85"/>
      <c r="E136" s="85"/>
      <c r="F136" s="85"/>
    </row>
    <row r="137">
      <c r="A137" s="85"/>
      <c r="B137" s="85"/>
      <c r="C137" s="85"/>
      <c r="D137" s="85"/>
      <c r="E137" s="85"/>
      <c r="F137" s="85"/>
    </row>
    <row r="138">
      <c r="A138" s="85"/>
      <c r="B138" s="85"/>
      <c r="C138" s="85"/>
      <c r="D138" s="85"/>
      <c r="E138" s="85"/>
      <c r="F138" s="85"/>
    </row>
    <row r="139">
      <c r="A139" s="85"/>
      <c r="B139" s="85"/>
      <c r="C139" s="85"/>
      <c r="D139" s="85"/>
      <c r="E139" s="85"/>
      <c r="F139" s="85"/>
    </row>
    <row r="140">
      <c r="A140" s="85"/>
      <c r="B140" s="85"/>
      <c r="C140" s="85"/>
      <c r="D140" s="85"/>
      <c r="E140" s="85"/>
      <c r="F140" s="85"/>
    </row>
    <row r="141">
      <c r="A141" s="85"/>
      <c r="B141" s="85"/>
      <c r="C141" s="85"/>
      <c r="D141" s="85"/>
      <c r="E141" s="85"/>
      <c r="F141" s="85"/>
    </row>
    <row r="142">
      <c r="A142" s="85"/>
      <c r="B142" s="85"/>
      <c r="C142" s="85"/>
      <c r="D142" s="85"/>
      <c r="E142" s="85"/>
      <c r="F142" s="85"/>
    </row>
    <row r="143">
      <c r="A143" s="85"/>
      <c r="B143" s="85"/>
      <c r="C143" s="85"/>
      <c r="D143" s="85"/>
      <c r="E143" s="85"/>
      <c r="F143" s="85"/>
    </row>
    <row r="144">
      <c r="A144" s="85"/>
      <c r="B144" s="85"/>
      <c r="C144" s="85"/>
      <c r="D144" s="85"/>
      <c r="E144" s="85"/>
      <c r="F144" s="85"/>
    </row>
    <row r="145">
      <c r="A145" s="85"/>
      <c r="B145" s="85"/>
      <c r="C145" s="85"/>
      <c r="D145" s="85"/>
      <c r="E145" s="85"/>
      <c r="F145" s="85"/>
    </row>
    <row r="146">
      <c r="A146" s="85"/>
      <c r="B146" s="85"/>
      <c r="C146" s="85"/>
      <c r="D146" s="85"/>
      <c r="E146" s="85"/>
      <c r="F146" s="85"/>
    </row>
    <row r="147">
      <c r="A147" s="85"/>
      <c r="B147" s="85"/>
      <c r="C147" s="85"/>
      <c r="D147" s="85"/>
      <c r="E147" s="85"/>
      <c r="F147" s="85"/>
    </row>
    <row r="148">
      <c r="A148" s="85"/>
      <c r="B148" s="85"/>
      <c r="C148" s="85"/>
      <c r="D148" s="85"/>
      <c r="E148" s="85"/>
      <c r="F148" s="85"/>
    </row>
    <row r="149">
      <c r="A149" s="85"/>
      <c r="B149" s="85"/>
      <c r="C149" s="85"/>
      <c r="D149" s="85"/>
      <c r="E149" s="85"/>
      <c r="F149" s="85"/>
    </row>
    <row r="150">
      <c r="A150" s="85"/>
      <c r="B150" s="85"/>
      <c r="C150" s="85"/>
      <c r="D150" s="85"/>
      <c r="E150" s="85"/>
      <c r="F150" s="85"/>
    </row>
    <row r="151">
      <c r="A151" s="85"/>
      <c r="B151" s="85"/>
      <c r="C151" s="85"/>
      <c r="D151" s="85"/>
      <c r="E151" s="85"/>
      <c r="F151" s="85"/>
    </row>
    <row r="152">
      <c r="A152" s="85"/>
      <c r="B152" s="85"/>
      <c r="C152" s="85"/>
      <c r="D152" s="85"/>
      <c r="E152" s="85"/>
      <c r="F152" s="85"/>
    </row>
    <row r="153">
      <c r="A153" s="85"/>
      <c r="B153" s="85"/>
      <c r="C153" s="85"/>
      <c r="D153" s="85"/>
      <c r="E153" s="85"/>
      <c r="F153" s="85"/>
    </row>
    <row r="154">
      <c r="A154" s="85"/>
      <c r="B154" s="85"/>
      <c r="C154" s="85"/>
      <c r="D154" s="85"/>
      <c r="E154" s="85"/>
      <c r="F154" s="85"/>
    </row>
    <row r="155">
      <c r="A155" s="85"/>
      <c r="B155" s="85"/>
      <c r="C155" s="85"/>
      <c r="D155" s="85"/>
      <c r="E155" s="85"/>
      <c r="F155" s="85"/>
    </row>
    <row r="156">
      <c r="A156" s="85"/>
      <c r="B156" s="85"/>
      <c r="C156" s="85"/>
      <c r="D156" s="85"/>
      <c r="E156" s="85"/>
      <c r="F156" s="85"/>
    </row>
    <row r="157">
      <c r="A157" s="85"/>
      <c r="B157" s="85"/>
      <c r="C157" s="85"/>
      <c r="D157" s="85"/>
      <c r="E157" s="85"/>
      <c r="F157" s="85"/>
    </row>
    <row r="158">
      <c r="A158" s="85"/>
      <c r="B158" s="85"/>
      <c r="C158" s="85"/>
      <c r="D158" s="85"/>
      <c r="E158" s="85"/>
      <c r="F158" s="85"/>
    </row>
    <row r="159">
      <c r="A159" s="85"/>
      <c r="B159" s="85"/>
      <c r="C159" s="85"/>
      <c r="D159" s="85"/>
      <c r="E159" s="85"/>
      <c r="F159" s="85"/>
    </row>
    <row r="160">
      <c r="A160" s="85"/>
      <c r="B160" s="85"/>
      <c r="C160" s="85"/>
      <c r="D160" s="85"/>
      <c r="E160" s="85"/>
      <c r="F160" s="85"/>
    </row>
    <row r="161">
      <c r="A161" s="85"/>
      <c r="B161" s="85"/>
      <c r="C161" s="85"/>
      <c r="D161" s="85"/>
      <c r="E161" s="85"/>
      <c r="F161" s="85"/>
    </row>
    <row r="162">
      <c r="A162" s="85"/>
      <c r="B162" s="85"/>
      <c r="C162" s="85"/>
      <c r="D162" s="85"/>
      <c r="E162" s="85"/>
      <c r="F162" s="85"/>
    </row>
    <row r="163">
      <c r="A163" s="85"/>
      <c r="B163" s="85"/>
      <c r="C163" s="85"/>
      <c r="D163" s="85"/>
      <c r="E163" s="85"/>
      <c r="F163" s="85"/>
    </row>
    <row r="164">
      <c r="A164" s="85"/>
      <c r="B164" s="85"/>
      <c r="C164" s="85"/>
      <c r="D164" s="85"/>
      <c r="E164" s="85"/>
      <c r="F164" s="85"/>
    </row>
    <row r="165">
      <c r="A165" s="85"/>
      <c r="B165" s="85"/>
      <c r="C165" s="85"/>
      <c r="D165" s="85"/>
      <c r="E165" s="85"/>
      <c r="F165" s="85"/>
    </row>
    <row r="166">
      <c r="A166" s="85"/>
      <c r="B166" s="85"/>
      <c r="C166" s="85"/>
      <c r="D166" s="85"/>
      <c r="E166" s="85"/>
      <c r="F166" s="85"/>
    </row>
    <row r="167">
      <c r="A167" s="85"/>
      <c r="B167" s="85"/>
      <c r="C167" s="85"/>
      <c r="D167" s="85"/>
      <c r="E167" s="85"/>
      <c r="F167" s="85"/>
    </row>
    <row r="168">
      <c r="A168" s="85"/>
      <c r="B168" s="85"/>
      <c r="C168" s="85"/>
      <c r="D168" s="85"/>
      <c r="E168" s="85"/>
      <c r="F168" s="85"/>
    </row>
    <row r="169">
      <c r="A169" s="85"/>
      <c r="B169" s="85"/>
      <c r="C169" s="85"/>
      <c r="D169" s="85"/>
      <c r="E169" s="85"/>
      <c r="F169" s="85"/>
    </row>
    <row r="170">
      <c r="A170" s="85"/>
      <c r="B170" s="85"/>
      <c r="C170" s="85"/>
      <c r="D170" s="85"/>
      <c r="E170" s="85"/>
      <c r="F170" s="85"/>
    </row>
    <row r="171">
      <c r="A171" s="85"/>
      <c r="B171" s="85"/>
      <c r="C171" s="85"/>
      <c r="D171" s="85"/>
      <c r="E171" s="85"/>
      <c r="F171" s="85"/>
    </row>
    <row r="172">
      <c r="A172" s="85"/>
      <c r="B172" s="85"/>
      <c r="C172" s="85"/>
      <c r="D172" s="85"/>
      <c r="E172" s="85"/>
      <c r="F172" s="85"/>
    </row>
    <row r="173">
      <c r="A173" s="85"/>
      <c r="B173" s="85"/>
      <c r="C173" s="85"/>
      <c r="D173" s="85"/>
      <c r="E173" s="85"/>
      <c r="F173" s="85"/>
    </row>
    <row r="174">
      <c r="A174" s="85"/>
      <c r="B174" s="85"/>
      <c r="C174" s="85"/>
      <c r="D174" s="85"/>
      <c r="E174" s="85"/>
      <c r="F174" s="85"/>
    </row>
    <row r="175">
      <c r="A175" s="85"/>
      <c r="B175" s="85"/>
      <c r="C175" s="85"/>
      <c r="D175" s="85"/>
      <c r="E175" s="85"/>
      <c r="F175" s="85"/>
    </row>
    <row r="176">
      <c r="A176" s="85"/>
      <c r="B176" s="85"/>
      <c r="C176" s="85"/>
      <c r="D176" s="85"/>
      <c r="E176" s="85"/>
      <c r="F176" s="85"/>
    </row>
    <row r="177">
      <c r="A177" s="85"/>
      <c r="B177" s="85"/>
      <c r="C177" s="85"/>
      <c r="D177" s="85"/>
      <c r="E177" s="85"/>
      <c r="F177" s="85"/>
    </row>
    <row r="178">
      <c r="A178" s="85"/>
      <c r="B178" s="85"/>
      <c r="C178" s="85"/>
      <c r="D178" s="85"/>
      <c r="E178" s="85"/>
      <c r="F178" s="85"/>
    </row>
    <row r="179">
      <c r="A179" s="85"/>
      <c r="B179" s="85"/>
      <c r="C179" s="85"/>
      <c r="D179" s="85"/>
      <c r="E179" s="85"/>
      <c r="F179" s="85"/>
    </row>
    <row r="180">
      <c r="A180" s="85"/>
      <c r="B180" s="85"/>
      <c r="C180" s="85"/>
      <c r="D180" s="85"/>
      <c r="E180" s="85"/>
      <c r="F180" s="85"/>
    </row>
    <row r="181">
      <c r="A181" s="85"/>
      <c r="B181" s="85"/>
      <c r="C181" s="85"/>
      <c r="D181" s="85"/>
      <c r="E181" s="85"/>
      <c r="F181" s="85"/>
    </row>
    <row r="182">
      <c r="A182" s="85"/>
      <c r="B182" s="85"/>
      <c r="C182" s="85"/>
      <c r="D182" s="85"/>
      <c r="E182" s="85"/>
      <c r="F182" s="85"/>
    </row>
    <row r="183">
      <c r="A183" s="85"/>
      <c r="B183" s="85"/>
      <c r="C183" s="85"/>
      <c r="D183" s="85"/>
      <c r="E183" s="85"/>
      <c r="F183" s="85"/>
    </row>
    <row r="184">
      <c r="A184" s="85"/>
      <c r="B184" s="85"/>
      <c r="C184" s="85"/>
      <c r="D184" s="85"/>
      <c r="E184" s="85"/>
      <c r="F184" s="85"/>
    </row>
    <row r="185">
      <c r="A185" s="85"/>
      <c r="B185" s="85"/>
      <c r="C185" s="85"/>
      <c r="D185" s="85"/>
      <c r="E185" s="85"/>
      <c r="F185" s="85"/>
    </row>
    <row r="186">
      <c r="A186" s="85"/>
      <c r="B186" s="85"/>
      <c r="C186" s="85"/>
      <c r="D186" s="85"/>
      <c r="E186" s="85"/>
      <c r="F186" s="85"/>
    </row>
    <row r="187">
      <c r="A187" s="85"/>
      <c r="B187" s="85"/>
      <c r="C187" s="85"/>
      <c r="D187" s="85"/>
      <c r="E187" s="85"/>
      <c r="F187" s="85"/>
    </row>
    <row r="188">
      <c r="A188" s="85"/>
      <c r="B188" s="85"/>
      <c r="C188" s="85"/>
      <c r="D188" s="85"/>
      <c r="E188" s="85"/>
      <c r="F188" s="85"/>
    </row>
    <row r="189">
      <c r="A189" s="85"/>
      <c r="B189" s="85"/>
      <c r="C189" s="85"/>
      <c r="D189" s="85"/>
      <c r="E189" s="85"/>
      <c r="F189" s="85"/>
    </row>
    <row r="190">
      <c r="A190" s="85"/>
      <c r="B190" s="85"/>
      <c r="C190" s="85"/>
      <c r="D190" s="85"/>
      <c r="E190" s="85"/>
      <c r="F190" s="85"/>
    </row>
    <row r="191">
      <c r="A191" s="85"/>
      <c r="B191" s="85"/>
      <c r="C191" s="85"/>
      <c r="D191" s="85"/>
      <c r="E191" s="85"/>
      <c r="F191" s="85"/>
    </row>
    <row r="192">
      <c r="A192" s="85"/>
      <c r="B192" s="85"/>
      <c r="C192" s="85"/>
      <c r="D192" s="85"/>
      <c r="E192" s="85"/>
      <c r="F192" s="85"/>
    </row>
    <row r="193">
      <c r="A193" s="85"/>
      <c r="B193" s="85"/>
      <c r="C193" s="85"/>
      <c r="D193" s="85"/>
      <c r="E193" s="85"/>
      <c r="F193" s="85"/>
    </row>
    <row r="194">
      <c r="A194" s="85"/>
      <c r="B194" s="85"/>
      <c r="C194" s="85"/>
      <c r="D194" s="85"/>
      <c r="E194" s="85"/>
      <c r="F194" s="85"/>
    </row>
    <row r="195">
      <c r="A195" s="85"/>
      <c r="B195" s="85"/>
      <c r="C195" s="85"/>
      <c r="D195" s="85"/>
      <c r="E195" s="85"/>
      <c r="F195" s="85"/>
    </row>
    <row r="196">
      <c r="A196" s="85"/>
      <c r="B196" s="85"/>
      <c r="C196" s="85"/>
      <c r="D196" s="85"/>
      <c r="E196" s="85"/>
      <c r="F196" s="85"/>
    </row>
    <row r="197">
      <c r="A197" s="85"/>
      <c r="B197" s="85"/>
      <c r="C197" s="85"/>
      <c r="D197" s="85"/>
      <c r="E197" s="85"/>
      <c r="F197" s="85"/>
    </row>
    <row r="198">
      <c r="A198" s="85"/>
      <c r="B198" s="85"/>
      <c r="C198" s="85"/>
      <c r="D198" s="85"/>
      <c r="E198" s="85"/>
      <c r="F198" s="85"/>
    </row>
    <row r="199">
      <c r="A199" s="85"/>
      <c r="B199" s="85"/>
      <c r="C199" s="85"/>
      <c r="D199" s="85"/>
      <c r="E199" s="85"/>
      <c r="F199" s="85"/>
    </row>
    <row r="200">
      <c r="A200" s="85"/>
      <c r="B200" s="85"/>
      <c r="C200" s="85"/>
      <c r="D200" s="85"/>
      <c r="E200" s="85"/>
      <c r="F200" s="85"/>
    </row>
    <row r="201">
      <c r="A201" s="85"/>
      <c r="B201" s="85"/>
      <c r="C201" s="85"/>
      <c r="D201" s="85"/>
      <c r="E201" s="85"/>
      <c r="F201" s="85"/>
    </row>
    <row r="202">
      <c r="A202" s="85"/>
      <c r="B202" s="85"/>
      <c r="C202" s="85"/>
      <c r="D202" s="85"/>
      <c r="E202" s="85"/>
      <c r="F202" s="85"/>
    </row>
    <row r="203">
      <c r="A203" s="85"/>
      <c r="B203" s="85"/>
      <c r="C203" s="85"/>
      <c r="D203" s="85"/>
      <c r="E203" s="85"/>
      <c r="F203" s="85"/>
    </row>
    <row r="204">
      <c r="A204" s="85"/>
      <c r="B204" s="85"/>
      <c r="C204" s="85"/>
      <c r="D204" s="85"/>
      <c r="E204" s="85"/>
      <c r="F204" s="85"/>
    </row>
    <row r="205">
      <c r="A205" s="85"/>
      <c r="B205" s="85"/>
      <c r="C205" s="85"/>
      <c r="D205" s="85"/>
      <c r="E205" s="85"/>
      <c r="F205" s="85"/>
    </row>
    <row r="206">
      <c r="A206" s="85"/>
      <c r="B206" s="85"/>
      <c r="C206" s="85"/>
      <c r="D206" s="85"/>
      <c r="E206" s="85"/>
      <c r="F206" s="85"/>
    </row>
    <row r="207">
      <c r="A207" s="85"/>
      <c r="B207" s="85"/>
      <c r="C207" s="85"/>
      <c r="D207" s="85"/>
      <c r="E207" s="85"/>
      <c r="F207" s="85"/>
    </row>
    <row r="208">
      <c r="A208" s="85"/>
      <c r="B208" s="85"/>
      <c r="C208" s="85"/>
      <c r="D208" s="85"/>
      <c r="E208" s="85"/>
      <c r="F208" s="85"/>
    </row>
    <row r="209">
      <c r="A209" s="85"/>
      <c r="B209" s="85"/>
      <c r="C209" s="85"/>
      <c r="D209" s="85"/>
      <c r="E209" s="85"/>
      <c r="F209" s="85"/>
    </row>
    <row r="210">
      <c r="A210" s="85"/>
      <c r="B210" s="85"/>
      <c r="C210" s="85"/>
      <c r="D210" s="85"/>
      <c r="E210" s="85"/>
      <c r="F210" s="85"/>
    </row>
    <row r="211">
      <c r="A211" s="85"/>
      <c r="B211" s="85"/>
      <c r="C211" s="85"/>
      <c r="D211" s="85"/>
      <c r="E211" s="85"/>
      <c r="F211" s="85"/>
    </row>
    <row r="212">
      <c r="A212" s="85"/>
      <c r="B212" s="85"/>
      <c r="C212" s="85"/>
      <c r="D212" s="85"/>
      <c r="E212" s="85"/>
      <c r="F212" s="85"/>
    </row>
    <row r="213">
      <c r="A213" s="85"/>
      <c r="B213" s="85"/>
      <c r="C213" s="85"/>
      <c r="D213" s="85"/>
      <c r="E213" s="85"/>
      <c r="F213" s="85"/>
    </row>
    <row r="214">
      <c r="A214" s="85"/>
      <c r="B214" s="85"/>
      <c r="C214" s="85"/>
      <c r="D214" s="85"/>
      <c r="E214" s="85"/>
      <c r="F214" s="85"/>
    </row>
    <row r="215">
      <c r="A215" s="85"/>
      <c r="B215" s="85"/>
      <c r="C215" s="85"/>
      <c r="D215" s="85"/>
      <c r="E215" s="85"/>
      <c r="F215" s="85"/>
    </row>
    <row r="216">
      <c r="A216" s="85"/>
      <c r="B216" s="85"/>
      <c r="C216" s="85"/>
      <c r="D216" s="85"/>
      <c r="E216" s="85"/>
      <c r="F216" s="85"/>
    </row>
    <row r="217">
      <c r="A217" s="85"/>
      <c r="B217" s="85"/>
      <c r="C217" s="85"/>
      <c r="D217" s="85"/>
      <c r="E217" s="85"/>
      <c r="F217" s="85"/>
    </row>
    <row r="218">
      <c r="A218" s="85"/>
      <c r="B218" s="85"/>
      <c r="C218" s="85"/>
      <c r="D218" s="85"/>
      <c r="E218" s="85"/>
      <c r="F218" s="85"/>
    </row>
    <row r="219">
      <c r="A219" s="85"/>
      <c r="B219" s="85"/>
      <c r="C219" s="85"/>
      <c r="D219" s="85"/>
      <c r="E219" s="85"/>
      <c r="F219" s="85"/>
    </row>
    <row r="220">
      <c r="A220" s="85"/>
      <c r="B220" s="85"/>
      <c r="C220" s="85"/>
      <c r="D220" s="85"/>
      <c r="E220" s="85"/>
      <c r="F220" s="85"/>
    </row>
    <row r="221">
      <c r="A221" s="85"/>
      <c r="B221" s="85"/>
      <c r="C221" s="85"/>
      <c r="D221" s="85"/>
      <c r="E221" s="85"/>
      <c r="F221" s="85"/>
    </row>
    <row r="222">
      <c r="A222" s="85"/>
      <c r="B222" s="85"/>
      <c r="C222" s="85"/>
      <c r="D222" s="85"/>
      <c r="E222" s="85"/>
      <c r="F222" s="85"/>
    </row>
    <row r="223">
      <c r="A223" s="85"/>
      <c r="B223" s="85"/>
      <c r="C223" s="85"/>
      <c r="D223" s="85"/>
      <c r="E223" s="85"/>
      <c r="F223" s="85"/>
    </row>
    <row r="224">
      <c r="A224" s="85"/>
      <c r="B224" s="85"/>
      <c r="C224" s="85"/>
      <c r="D224" s="85"/>
      <c r="E224" s="85"/>
      <c r="F224" s="85"/>
    </row>
    <row r="225">
      <c r="A225" s="85"/>
      <c r="B225" s="85"/>
      <c r="C225" s="85"/>
      <c r="D225" s="85"/>
      <c r="E225" s="85"/>
      <c r="F225" s="85"/>
    </row>
    <row r="226">
      <c r="A226" s="85"/>
      <c r="B226" s="85"/>
      <c r="C226" s="85"/>
      <c r="D226" s="85"/>
      <c r="E226" s="85"/>
      <c r="F226" s="85"/>
    </row>
    <row r="227">
      <c r="A227" s="85"/>
      <c r="B227" s="85"/>
      <c r="C227" s="85"/>
      <c r="D227" s="85"/>
      <c r="E227" s="85"/>
      <c r="F227" s="85"/>
    </row>
    <row r="228">
      <c r="A228" s="85"/>
      <c r="B228" s="85"/>
      <c r="C228" s="85"/>
      <c r="D228" s="85"/>
      <c r="E228" s="85"/>
      <c r="F228" s="85"/>
    </row>
    <row r="229">
      <c r="A229" s="85"/>
      <c r="B229" s="85"/>
      <c r="C229" s="85"/>
      <c r="D229" s="85"/>
      <c r="E229" s="85"/>
      <c r="F229" s="85"/>
    </row>
    <row r="230">
      <c r="A230" s="85"/>
      <c r="B230" s="85"/>
      <c r="C230" s="85"/>
      <c r="D230" s="85"/>
      <c r="E230" s="85"/>
      <c r="F230" s="85"/>
    </row>
    <row r="231">
      <c r="A231" s="85"/>
      <c r="B231" s="85"/>
      <c r="C231" s="85"/>
      <c r="D231" s="85"/>
      <c r="E231" s="85"/>
      <c r="F231" s="85"/>
    </row>
    <row r="232">
      <c r="A232" s="85"/>
      <c r="B232" s="85"/>
      <c r="C232" s="85"/>
      <c r="D232" s="85"/>
      <c r="E232" s="85"/>
      <c r="F232" s="85"/>
    </row>
    <row r="233">
      <c r="A233" s="85"/>
      <c r="B233" s="85"/>
      <c r="C233" s="85"/>
      <c r="D233" s="85"/>
      <c r="E233" s="85"/>
      <c r="F233" s="85"/>
    </row>
    <row r="234">
      <c r="A234" s="85"/>
      <c r="B234" s="85"/>
      <c r="C234" s="85"/>
      <c r="D234" s="85"/>
      <c r="E234" s="85"/>
      <c r="F234" s="85"/>
    </row>
    <row r="235">
      <c r="A235" s="85"/>
      <c r="B235" s="85"/>
      <c r="C235" s="85"/>
      <c r="D235" s="85"/>
      <c r="E235" s="85"/>
      <c r="F235" s="85"/>
    </row>
    <row r="236">
      <c r="A236" s="85"/>
      <c r="B236" s="85"/>
      <c r="C236" s="85"/>
      <c r="D236" s="85"/>
      <c r="E236" s="85"/>
      <c r="F236" s="85"/>
    </row>
    <row r="237">
      <c r="A237" s="85"/>
      <c r="B237" s="85"/>
      <c r="C237" s="85"/>
      <c r="D237" s="85"/>
      <c r="E237" s="85"/>
      <c r="F237" s="85"/>
    </row>
    <row r="238">
      <c r="A238" s="85"/>
      <c r="B238" s="85"/>
      <c r="C238" s="85"/>
      <c r="D238" s="85"/>
      <c r="E238" s="85"/>
      <c r="F238" s="85"/>
    </row>
    <row r="239">
      <c r="A239" s="85"/>
      <c r="B239" s="85"/>
      <c r="C239" s="85"/>
      <c r="D239" s="85"/>
      <c r="E239" s="85"/>
      <c r="F239" s="85"/>
    </row>
    <row r="240">
      <c r="A240" s="85"/>
      <c r="B240" s="85"/>
      <c r="C240" s="85"/>
      <c r="D240" s="85"/>
      <c r="E240" s="85"/>
      <c r="F240" s="85"/>
    </row>
    <row r="241">
      <c r="A241" s="85"/>
      <c r="B241" s="85"/>
      <c r="C241" s="85"/>
      <c r="D241" s="85"/>
      <c r="E241" s="85"/>
      <c r="F241" s="85"/>
    </row>
    <row r="242">
      <c r="A242" s="85"/>
      <c r="B242" s="85"/>
      <c r="C242" s="85"/>
      <c r="D242" s="85"/>
      <c r="E242" s="85"/>
      <c r="F242" s="85"/>
    </row>
    <row r="243">
      <c r="A243" s="85"/>
      <c r="B243" s="85"/>
      <c r="C243" s="85"/>
      <c r="D243" s="85"/>
      <c r="E243" s="85"/>
      <c r="F243" s="85"/>
    </row>
    <row r="244">
      <c r="A244" s="85"/>
      <c r="B244" s="85"/>
      <c r="C244" s="85"/>
      <c r="D244" s="85"/>
      <c r="E244" s="85"/>
      <c r="F244" s="85"/>
    </row>
    <row r="245">
      <c r="A245" s="85"/>
      <c r="B245" s="85"/>
      <c r="C245" s="85"/>
      <c r="D245" s="85"/>
      <c r="E245" s="85"/>
      <c r="F245" s="85"/>
    </row>
    <row r="246">
      <c r="A246" s="85"/>
      <c r="B246" s="85"/>
      <c r="C246" s="85"/>
      <c r="D246" s="85"/>
      <c r="E246" s="85"/>
      <c r="F246" s="85"/>
    </row>
    <row r="247">
      <c r="A247" s="85"/>
      <c r="B247" s="85"/>
      <c r="C247" s="85"/>
      <c r="D247" s="85"/>
      <c r="E247" s="85"/>
      <c r="F247" s="85"/>
    </row>
    <row r="248">
      <c r="A248" s="85"/>
      <c r="B248" s="85"/>
      <c r="C248" s="85"/>
      <c r="D248" s="85"/>
      <c r="E248" s="85"/>
      <c r="F248" s="85"/>
    </row>
    <row r="249">
      <c r="A249" s="85"/>
      <c r="B249" s="85"/>
      <c r="C249" s="85"/>
      <c r="D249" s="85"/>
      <c r="E249" s="85"/>
      <c r="F249" s="85"/>
    </row>
    <row r="250">
      <c r="A250" s="85"/>
      <c r="B250" s="85"/>
      <c r="C250" s="85"/>
      <c r="D250" s="85"/>
      <c r="E250" s="85"/>
      <c r="F250" s="85"/>
    </row>
    <row r="251">
      <c r="A251" s="85"/>
      <c r="B251" s="85"/>
      <c r="C251" s="85"/>
      <c r="D251" s="85"/>
      <c r="E251" s="85"/>
      <c r="F251" s="85"/>
    </row>
    <row r="252">
      <c r="A252" s="85"/>
      <c r="B252" s="85"/>
      <c r="C252" s="85"/>
      <c r="D252" s="85"/>
      <c r="E252" s="85"/>
      <c r="F252" s="85"/>
    </row>
    <row r="253">
      <c r="A253" s="85"/>
      <c r="B253" s="85"/>
      <c r="C253" s="85"/>
      <c r="D253" s="85"/>
      <c r="E253" s="85"/>
      <c r="F253" s="85"/>
    </row>
    <row r="254">
      <c r="A254" s="85"/>
      <c r="B254" s="85"/>
      <c r="C254" s="85"/>
      <c r="D254" s="85"/>
      <c r="E254" s="85"/>
      <c r="F254" s="85"/>
    </row>
    <row r="255">
      <c r="A255" s="85"/>
      <c r="B255" s="85"/>
      <c r="C255" s="85"/>
      <c r="D255" s="85"/>
      <c r="E255" s="85"/>
      <c r="F255" s="85"/>
    </row>
    <row r="256">
      <c r="A256" s="85"/>
      <c r="B256" s="85"/>
      <c r="C256" s="85"/>
      <c r="D256" s="85"/>
      <c r="E256" s="85"/>
      <c r="F256" s="85"/>
    </row>
    <row r="257">
      <c r="A257" s="85"/>
      <c r="B257" s="85"/>
      <c r="C257" s="85"/>
      <c r="D257" s="85"/>
      <c r="E257" s="85"/>
      <c r="F257" s="85"/>
    </row>
    <row r="258">
      <c r="A258" s="85"/>
      <c r="B258" s="85"/>
      <c r="C258" s="85"/>
      <c r="D258" s="85"/>
      <c r="E258" s="85"/>
      <c r="F258" s="85"/>
    </row>
    <row r="259">
      <c r="A259" s="85"/>
      <c r="B259" s="85"/>
      <c r="C259" s="85"/>
      <c r="D259" s="85"/>
      <c r="E259" s="85"/>
      <c r="F259" s="85"/>
    </row>
    <row r="260">
      <c r="A260" s="85"/>
      <c r="B260" s="85"/>
      <c r="C260" s="85"/>
      <c r="D260" s="85"/>
      <c r="E260" s="85"/>
      <c r="F260" s="85"/>
    </row>
    <row r="261">
      <c r="A261" s="85"/>
      <c r="B261" s="85"/>
      <c r="C261" s="85"/>
      <c r="D261" s="85"/>
      <c r="E261" s="85"/>
      <c r="F261" s="85"/>
    </row>
    <row r="262">
      <c r="A262" s="85"/>
      <c r="B262" s="85"/>
      <c r="C262" s="85"/>
      <c r="D262" s="85"/>
      <c r="E262" s="85"/>
      <c r="F262" s="85"/>
    </row>
    <row r="263">
      <c r="A263" s="85"/>
      <c r="B263" s="85"/>
      <c r="C263" s="85"/>
      <c r="D263" s="85"/>
      <c r="E263" s="85"/>
      <c r="F263" s="85"/>
    </row>
    <row r="264">
      <c r="A264" s="85"/>
      <c r="B264" s="85"/>
      <c r="C264" s="85"/>
      <c r="D264" s="85"/>
      <c r="E264" s="85"/>
      <c r="F264" s="85"/>
    </row>
    <row r="265">
      <c r="A265" s="85"/>
      <c r="B265" s="85"/>
      <c r="C265" s="85"/>
      <c r="D265" s="85"/>
      <c r="E265" s="85"/>
      <c r="F265" s="85"/>
    </row>
    <row r="266">
      <c r="A266" s="85"/>
      <c r="B266" s="85"/>
      <c r="C266" s="85"/>
      <c r="D266" s="85"/>
      <c r="E266" s="85"/>
      <c r="F266" s="85"/>
    </row>
    <row r="267">
      <c r="A267" s="85"/>
      <c r="B267" s="85"/>
      <c r="C267" s="85"/>
      <c r="D267" s="85"/>
      <c r="E267" s="85"/>
      <c r="F267" s="85"/>
    </row>
    <row r="268">
      <c r="A268" s="85"/>
      <c r="B268" s="85"/>
      <c r="C268" s="85"/>
      <c r="D268" s="85"/>
      <c r="E268" s="85"/>
      <c r="F268" s="85"/>
    </row>
    <row r="269">
      <c r="A269" s="85"/>
      <c r="B269" s="85"/>
      <c r="C269" s="85"/>
      <c r="D269" s="85"/>
      <c r="E269" s="85"/>
      <c r="F269" s="85"/>
    </row>
    <row r="270">
      <c r="A270" s="85"/>
      <c r="B270" s="85"/>
      <c r="C270" s="85"/>
      <c r="D270" s="85"/>
      <c r="E270" s="85"/>
      <c r="F270" s="85"/>
    </row>
    <row r="271">
      <c r="A271" s="85"/>
      <c r="B271" s="85"/>
      <c r="C271" s="85"/>
      <c r="D271" s="85"/>
      <c r="E271" s="85"/>
      <c r="F271" s="85"/>
    </row>
    <row r="272">
      <c r="A272" s="85"/>
      <c r="B272" s="85"/>
      <c r="C272" s="85"/>
      <c r="D272" s="85"/>
      <c r="E272" s="85"/>
      <c r="F272" s="85"/>
    </row>
    <row r="273">
      <c r="A273" s="85"/>
      <c r="B273" s="85"/>
      <c r="C273" s="85"/>
      <c r="D273" s="85"/>
      <c r="E273" s="85"/>
      <c r="F273" s="85"/>
    </row>
    <row r="274">
      <c r="A274" s="85"/>
      <c r="B274" s="85"/>
      <c r="C274" s="85"/>
      <c r="D274" s="85"/>
      <c r="E274" s="85"/>
      <c r="F274" s="85"/>
    </row>
    <row r="275">
      <c r="A275" s="85"/>
      <c r="B275" s="85"/>
      <c r="C275" s="85"/>
      <c r="D275" s="85"/>
      <c r="E275" s="85"/>
      <c r="F275" s="85"/>
    </row>
    <row r="276">
      <c r="A276" s="85"/>
      <c r="B276" s="85"/>
      <c r="C276" s="85"/>
      <c r="D276" s="85"/>
      <c r="E276" s="85"/>
      <c r="F276" s="85"/>
    </row>
    <row r="277">
      <c r="A277" s="85"/>
      <c r="B277" s="85"/>
      <c r="C277" s="85"/>
      <c r="D277" s="85"/>
      <c r="E277" s="85"/>
      <c r="F277" s="85"/>
    </row>
    <row r="278">
      <c r="A278" s="85"/>
      <c r="B278" s="85"/>
      <c r="C278" s="85"/>
      <c r="D278" s="85"/>
      <c r="E278" s="85"/>
      <c r="F278" s="85"/>
    </row>
    <row r="279">
      <c r="A279" s="85"/>
      <c r="B279" s="85"/>
      <c r="C279" s="85"/>
      <c r="D279" s="85"/>
      <c r="E279" s="85"/>
      <c r="F279" s="85"/>
    </row>
    <row r="280">
      <c r="A280" s="85"/>
      <c r="B280" s="85"/>
      <c r="C280" s="85"/>
      <c r="D280" s="85"/>
      <c r="E280" s="85"/>
      <c r="F280" s="85"/>
    </row>
    <row r="281">
      <c r="A281" s="85"/>
      <c r="B281" s="85"/>
      <c r="C281" s="85"/>
      <c r="D281" s="85"/>
      <c r="E281" s="85"/>
      <c r="F281" s="85"/>
    </row>
    <row r="282">
      <c r="A282" s="85"/>
      <c r="B282" s="85"/>
      <c r="C282" s="85"/>
      <c r="D282" s="85"/>
      <c r="E282" s="85"/>
      <c r="F282" s="85"/>
    </row>
    <row r="283">
      <c r="A283" s="85"/>
      <c r="B283" s="85"/>
      <c r="C283" s="85"/>
      <c r="D283" s="85"/>
      <c r="E283" s="85"/>
      <c r="F283" s="85"/>
    </row>
    <row r="284">
      <c r="A284" s="85"/>
      <c r="B284" s="85"/>
      <c r="C284" s="85"/>
      <c r="D284" s="85"/>
      <c r="E284" s="85"/>
      <c r="F284" s="85"/>
    </row>
    <row r="285">
      <c r="A285" s="85"/>
      <c r="B285" s="85"/>
      <c r="C285" s="85"/>
      <c r="D285" s="85"/>
      <c r="E285" s="85"/>
      <c r="F285" s="85"/>
    </row>
    <row r="286">
      <c r="A286" s="85"/>
      <c r="B286" s="85"/>
      <c r="C286" s="85"/>
      <c r="D286" s="85"/>
      <c r="E286" s="85"/>
      <c r="F286" s="85"/>
    </row>
    <row r="287">
      <c r="A287" s="85"/>
      <c r="B287" s="85"/>
      <c r="C287" s="85"/>
      <c r="D287" s="85"/>
      <c r="E287" s="85"/>
      <c r="F287" s="85"/>
    </row>
    <row r="288">
      <c r="A288" s="85"/>
      <c r="B288" s="85"/>
      <c r="C288" s="85"/>
      <c r="D288" s="85"/>
      <c r="E288" s="85"/>
      <c r="F288" s="85"/>
    </row>
    <row r="289">
      <c r="A289" s="85"/>
      <c r="B289" s="85"/>
      <c r="C289" s="85"/>
      <c r="D289" s="85"/>
      <c r="E289" s="85"/>
      <c r="F289" s="85"/>
    </row>
    <row r="290">
      <c r="A290" s="85"/>
      <c r="B290" s="85"/>
      <c r="C290" s="85"/>
      <c r="D290" s="85"/>
      <c r="E290" s="85"/>
      <c r="F290" s="85"/>
    </row>
    <row r="291">
      <c r="A291" s="85"/>
      <c r="B291" s="85"/>
      <c r="C291" s="85"/>
      <c r="D291" s="85"/>
      <c r="E291" s="85"/>
      <c r="F291" s="85"/>
    </row>
    <row r="292">
      <c r="A292" s="85"/>
      <c r="B292" s="85"/>
      <c r="C292" s="85"/>
      <c r="D292" s="85"/>
      <c r="E292" s="85"/>
      <c r="F292" s="85"/>
    </row>
    <row r="293">
      <c r="A293" s="85"/>
      <c r="B293" s="85"/>
      <c r="C293" s="85"/>
      <c r="D293" s="85"/>
      <c r="E293" s="85"/>
      <c r="F293" s="85"/>
    </row>
    <row r="294">
      <c r="A294" s="85"/>
      <c r="B294" s="85"/>
      <c r="C294" s="85"/>
      <c r="D294" s="85"/>
      <c r="E294" s="85"/>
      <c r="F294" s="85"/>
    </row>
    <row r="295">
      <c r="A295" s="85"/>
      <c r="B295" s="85"/>
      <c r="C295" s="85"/>
      <c r="D295" s="85"/>
      <c r="E295" s="85"/>
      <c r="F295" s="85"/>
    </row>
    <row r="296">
      <c r="A296" s="85"/>
      <c r="B296" s="85"/>
      <c r="C296" s="85"/>
      <c r="D296" s="85"/>
      <c r="E296" s="85"/>
      <c r="F296" s="85"/>
    </row>
    <row r="297">
      <c r="A297" s="85"/>
      <c r="B297" s="85"/>
      <c r="C297" s="85"/>
      <c r="D297" s="85"/>
      <c r="E297" s="85"/>
      <c r="F297" s="85"/>
    </row>
    <row r="298">
      <c r="A298" s="85"/>
      <c r="B298" s="85"/>
      <c r="C298" s="85"/>
      <c r="D298" s="85"/>
      <c r="E298" s="85"/>
      <c r="F298" s="85"/>
    </row>
    <row r="299">
      <c r="A299" s="85"/>
      <c r="B299" s="85"/>
      <c r="C299" s="85"/>
      <c r="D299" s="85"/>
      <c r="E299" s="85"/>
      <c r="F299" s="85"/>
    </row>
    <row r="300">
      <c r="A300" s="85"/>
      <c r="B300" s="85"/>
      <c r="C300" s="85"/>
      <c r="D300" s="85"/>
      <c r="E300" s="85"/>
      <c r="F300" s="85"/>
    </row>
    <row r="301">
      <c r="A301" s="85"/>
      <c r="B301" s="85"/>
      <c r="C301" s="85"/>
      <c r="D301" s="85"/>
      <c r="E301" s="85"/>
      <c r="F301" s="85"/>
    </row>
    <row r="302">
      <c r="A302" s="85"/>
      <c r="B302" s="85"/>
      <c r="C302" s="85"/>
      <c r="D302" s="85"/>
      <c r="E302" s="85"/>
      <c r="F302" s="85"/>
    </row>
    <row r="303">
      <c r="A303" s="85"/>
      <c r="B303" s="85"/>
      <c r="C303" s="85"/>
      <c r="D303" s="85"/>
      <c r="E303" s="85"/>
      <c r="F303" s="85"/>
    </row>
    <row r="304">
      <c r="A304" s="85"/>
      <c r="B304" s="85"/>
      <c r="C304" s="85"/>
      <c r="D304" s="85"/>
      <c r="E304" s="85"/>
      <c r="F304" s="85"/>
    </row>
    <row r="305">
      <c r="A305" s="85"/>
      <c r="B305" s="85"/>
      <c r="C305" s="85"/>
      <c r="D305" s="85"/>
      <c r="E305" s="85"/>
      <c r="F305" s="85"/>
    </row>
    <row r="306">
      <c r="A306" s="85"/>
      <c r="B306" s="85"/>
      <c r="C306" s="85"/>
      <c r="D306" s="85"/>
      <c r="E306" s="85"/>
      <c r="F306" s="85"/>
    </row>
    <row r="307">
      <c r="A307" s="85"/>
      <c r="B307" s="85"/>
      <c r="C307" s="85"/>
      <c r="D307" s="85"/>
      <c r="E307" s="85"/>
      <c r="F307" s="85"/>
    </row>
    <row r="308">
      <c r="A308" s="85"/>
      <c r="B308" s="85"/>
      <c r="C308" s="85"/>
      <c r="D308" s="85"/>
      <c r="E308" s="85"/>
      <c r="F308" s="85"/>
    </row>
    <row r="309">
      <c r="A309" s="85"/>
      <c r="B309" s="85"/>
      <c r="C309" s="85"/>
      <c r="D309" s="85"/>
      <c r="E309" s="85"/>
      <c r="F309" s="85"/>
    </row>
    <row r="310">
      <c r="A310" s="85"/>
      <c r="B310" s="85"/>
      <c r="C310" s="85"/>
      <c r="D310" s="85"/>
      <c r="E310" s="85"/>
      <c r="F310" s="85"/>
    </row>
    <row r="311">
      <c r="A311" s="85"/>
      <c r="B311" s="85"/>
      <c r="C311" s="85"/>
      <c r="D311" s="85"/>
      <c r="E311" s="85"/>
      <c r="F311" s="85"/>
    </row>
    <row r="312">
      <c r="A312" s="85"/>
      <c r="B312" s="85"/>
      <c r="C312" s="85"/>
      <c r="D312" s="85"/>
      <c r="E312" s="85"/>
      <c r="F312" s="85"/>
    </row>
    <row r="313">
      <c r="A313" s="85"/>
      <c r="B313" s="85"/>
      <c r="C313" s="85"/>
      <c r="D313" s="85"/>
      <c r="E313" s="85"/>
      <c r="F313" s="85"/>
    </row>
    <row r="314">
      <c r="A314" s="85"/>
      <c r="B314" s="85"/>
      <c r="C314" s="85"/>
      <c r="D314" s="85"/>
      <c r="E314" s="85"/>
      <c r="F314" s="85"/>
    </row>
    <row r="315">
      <c r="A315" s="85"/>
      <c r="B315" s="85"/>
      <c r="C315" s="85"/>
      <c r="D315" s="85"/>
      <c r="E315" s="85"/>
      <c r="F315" s="85"/>
    </row>
    <row r="316">
      <c r="A316" s="85"/>
      <c r="B316" s="85"/>
      <c r="C316" s="85"/>
      <c r="D316" s="85"/>
      <c r="E316" s="85"/>
      <c r="F316" s="85"/>
    </row>
    <row r="317">
      <c r="A317" s="85"/>
      <c r="B317" s="85"/>
      <c r="C317" s="85"/>
      <c r="D317" s="85"/>
      <c r="E317" s="85"/>
      <c r="F317" s="85"/>
    </row>
    <row r="318">
      <c r="A318" s="85"/>
      <c r="B318" s="85"/>
      <c r="C318" s="85"/>
      <c r="D318" s="85"/>
      <c r="E318" s="85"/>
      <c r="F318" s="85"/>
    </row>
    <row r="319">
      <c r="A319" s="85"/>
      <c r="B319" s="85"/>
      <c r="C319" s="85"/>
      <c r="D319" s="85"/>
      <c r="E319" s="85"/>
      <c r="F319" s="85"/>
    </row>
    <row r="320">
      <c r="A320" s="85"/>
      <c r="B320" s="85"/>
      <c r="C320" s="85"/>
      <c r="D320" s="85"/>
      <c r="E320" s="85"/>
      <c r="F320" s="85"/>
    </row>
    <row r="321">
      <c r="A321" s="85"/>
      <c r="B321" s="85"/>
      <c r="C321" s="85"/>
      <c r="D321" s="85"/>
      <c r="E321" s="85"/>
      <c r="F321" s="85"/>
    </row>
    <row r="322">
      <c r="A322" s="85"/>
      <c r="B322" s="85"/>
      <c r="C322" s="85"/>
      <c r="D322" s="85"/>
      <c r="E322" s="85"/>
      <c r="F322" s="85"/>
    </row>
    <row r="323">
      <c r="A323" s="85"/>
      <c r="B323" s="85"/>
      <c r="C323" s="85"/>
      <c r="D323" s="85"/>
      <c r="E323" s="85"/>
      <c r="F323" s="85"/>
    </row>
    <row r="324">
      <c r="A324" s="85"/>
      <c r="B324" s="85"/>
      <c r="C324" s="85"/>
      <c r="D324" s="85"/>
      <c r="E324" s="85"/>
      <c r="F324" s="85"/>
    </row>
    <row r="325">
      <c r="A325" s="85"/>
      <c r="B325" s="85"/>
      <c r="C325" s="85"/>
      <c r="D325" s="85"/>
      <c r="E325" s="85"/>
      <c r="F325" s="85"/>
    </row>
    <row r="326">
      <c r="A326" s="85"/>
      <c r="B326" s="85"/>
      <c r="C326" s="85"/>
      <c r="D326" s="85"/>
      <c r="E326" s="85"/>
      <c r="F326" s="85"/>
    </row>
    <row r="327">
      <c r="A327" s="85"/>
      <c r="B327" s="85"/>
      <c r="C327" s="85"/>
      <c r="D327" s="85"/>
      <c r="E327" s="85"/>
      <c r="F327" s="85"/>
    </row>
    <row r="328">
      <c r="A328" s="85"/>
      <c r="B328" s="85"/>
      <c r="C328" s="85"/>
      <c r="D328" s="85"/>
      <c r="E328" s="85"/>
      <c r="F328" s="85"/>
    </row>
    <row r="329">
      <c r="A329" s="85"/>
      <c r="B329" s="85"/>
      <c r="C329" s="85"/>
      <c r="D329" s="85"/>
      <c r="E329" s="85"/>
      <c r="F329" s="85"/>
    </row>
    <row r="330">
      <c r="A330" s="85"/>
      <c r="B330" s="85"/>
      <c r="C330" s="85"/>
      <c r="D330" s="85"/>
      <c r="E330" s="85"/>
      <c r="F330" s="85"/>
    </row>
    <row r="331">
      <c r="A331" s="85"/>
      <c r="B331" s="85"/>
      <c r="C331" s="85"/>
      <c r="D331" s="85"/>
      <c r="E331" s="85"/>
      <c r="F331" s="85"/>
    </row>
    <row r="332">
      <c r="A332" s="85"/>
      <c r="B332" s="85"/>
      <c r="C332" s="85"/>
      <c r="D332" s="85"/>
      <c r="E332" s="85"/>
      <c r="F332" s="85"/>
    </row>
    <row r="333">
      <c r="A333" s="85"/>
      <c r="B333" s="85"/>
      <c r="C333" s="85"/>
      <c r="D333" s="85"/>
      <c r="E333" s="85"/>
      <c r="F333" s="85"/>
    </row>
    <row r="334">
      <c r="A334" s="85"/>
      <c r="B334" s="85"/>
      <c r="C334" s="85"/>
      <c r="D334" s="85"/>
      <c r="E334" s="85"/>
      <c r="F334" s="85"/>
    </row>
    <row r="335">
      <c r="A335" s="85"/>
      <c r="B335" s="85"/>
      <c r="C335" s="85"/>
      <c r="D335" s="85"/>
      <c r="E335" s="85"/>
      <c r="F335" s="85"/>
    </row>
    <row r="336">
      <c r="A336" s="85"/>
      <c r="B336" s="85"/>
      <c r="C336" s="85"/>
      <c r="D336" s="85"/>
      <c r="E336" s="85"/>
      <c r="F336" s="85"/>
    </row>
    <row r="337">
      <c r="A337" s="85"/>
      <c r="B337" s="85"/>
      <c r="C337" s="85"/>
      <c r="D337" s="85"/>
      <c r="E337" s="85"/>
      <c r="F337" s="85"/>
    </row>
    <row r="338">
      <c r="A338" s="85"/>
      <c r="B338" s="85"/>
      <c r="C338" s="85"/>
      <c r="D338" s="85"/>
      <c r="E338" s="85"/>
      <c r="F338" s="85"/>
    </row>
    <row r="339">
      <c r="A339" s="85"/>
      <c r="B339" s="85"/>
      <c r="C339" s="85"/>
      <c r="D339" s="85"/>
      <c r="E339" s="85"/>
      <c r="F339" s="85"/>
    </row>
    <row r="340">
      <c r="A340" s="85"/>
      <c r="B340" s="85"/>
      <c r="C340" s="85"/>
      <c r="D340" s="85"/>
      <c r="E340" s="85"/>
      <c r="F340" s="85"/>
    </row>
    <row r="341">
      <c r="A341" s="85"/>
      <c r="B341" s="85"/>
      <c r="C341" s="85"/>
      <c r="D341" s="85"/>
      <c r="E341" s="85"/>
      <c r="F341" s="85"/>
    </row>
    <row r="342">
      <c r="A342" s="85"/>
      <c r="B342" s="85"/>
      <c r="C342" s="85"/>
      <c r="D342" s="85"/>
      <c r="E342" s="85"/>
      <c r="F342" s="85"/>
    </row>
    <row r="343">
      <c r="A343" s="85"/>
      <c r="B343" s="85"/>
      <c r="C343" s="85"/>
      <c r="D343" s="85"/>
      <c r="E343" s="85"/>
      <c r="F343" s="85"/>
    </row>
    <row r="344">
      <c r="A344" s="85"/>
      <c r="B344" s="85"/>
      <c r="C344" s="85"/>
      <c r="D344" s="85"/>
      <c r="E344" s="85"/>
      <c r="F344" s="85"/>
    </row>
    <row r="345">
      <c r="A345" s="85"/>
      <c r="B345" s="85"/>
      <c r="C345" s="85"/>
      <c r="D345" s="85"/>
      <c r="E345" s="85"/>
      <c r="F345" s="85"/>
    </row>
    <row r="346">
      <c r="A346" s="85"/>
      <c r="B346" s="85"/>
      <c r="C346" s="85"/>
      <c r="D346" s="85"/>
      <c r="E346" s="85"/>
      <c r="F346" s="85"/>
    </row>
    <row r="347">
      <c r="A347" s="85"/>
      <c r="B347" s="85"/>
      <c r="C347" s="85"/>
      <c r="D347" s="85"/>
      <c r="E347" s="85"/>
      <c r="F347" s="85"/>
    </row>
    <row r="348">
      <c r="A348" s="85"/>
      <c r="B348" s="85"/>
      <c r="C348" s="85"/>
      <c r="D348" s="85"/>
      <c r="E348" s="85"/>
      <c r="F348" s="85"/>
    </row>
    <row r="349">
      <c r="A349" s="85"/>
      <c r="B349" s="85"/>
      <c r="C349" s="85"/>
      <c r="D349" s="85"/>
      <c r="E349" s="85"/>
      <c r="F349" s="85"/>
    </row>
    <row r="350">
      <c r="A350" s="85"/>
      <c r="B350" s="85"/>
      <c r="C350" s="85"/>
      <c r="D350" s="85"/>
      <c r="E350" s="85"/>
      <c r="F350" s="85"/>
    </row>
    <row r="351">
      <c r="A351" s="85"/>
      <c r="B351" s="85"/>
      <c r="C351" s="85"/>
      <c r="D351" s="85"/>
      <c r="E351" s="85"/>
      <c r="F351" s="85"/>
    </row>
    <row r="352">
      <c r="A352" s="85"/>
      <c r="B352" s="85"/>
      <c r="C352" s="85"/>
      <c r="D352" s="85"/>
      <c r="E352" s="85"/>
      <c r="F352" s="85"/>
    </row>
    <row r="353">
      <c r="A353" s="85"/>
      <c r="B353" s="85"/>
      <c r="C353" s="85"/>
      <c r="D353" s="85"/>
      <c r="E353" s="85"/>
      <c r="F353" s="85"/>
    </row>
    <row r="354">
      <c r="A354" s="85"/>
      <c r="B354" s="85"/>
      <c r="C354" s="85"/>
      <c r="D354" s="85"/>
      <c r="E354" s="85"/>
      <c r="F354" s="85"/>
    </row>
    <row r="355">
      <c r="A355" s="85"/>
      <c r="B355" s="85"/>
      <c r="C355" s="85"/>
      <c r="D355" s="85"/>
      <c r="E355" s="85"/>
      <c r="F355" s="85"/>
    </row>
    <row r="356">
      <c r="A356" s="85"/>
      <c r="B356" s="85"/>
      <c r="C356" s="85"/>
      <c r="D356" s="85"/>
      <c r="E356" s="85"/>
      <c r="F356" s="85"/>
    </row>
    <row r="357">
      <c r="A357" s="85"/>
      <c r="B357" s="85"/>
      <c r="C357" s="85"/>
      <c r="D357" s="85"/>
      <c r="E357" s="85"/>
      <c r="F357" s="85"/>
    </row>
    <row r="358">
      <c r="A358" s="85"/>
      <c r="B358" s="85"/>
      <c r="C358" s="85"/>
      <c r="D358" s="85"/>
      <c r="E358" s="85"/>
      <c r="F358" s="85"/>
    </row>
    <row r="359">
      <c r="A359" s="85"/>
      <c r="B359" s="85"/>
      <c r="C359" s="85"/>
      <c r="D359" s="85"/>
      <c r="E359" s="85"/>
      <c r="F359" s="85"/>
    </row>
    <row r="360">
      <c r="A360" s="85"/>
      <c r="B360" s="85"/>
      <c r="C360" s="85"/>
      <c r="D360" s="85"/>
      <c r="E360" s="85"/>
      <c r="F360" s="85"/>
    </row>
    <row r="361">
      <c r="A361" s="85"/>
      <c r="B361" s="85"/>
      <c r="C361" s="85"/>
      <c r="D361" s="85"/>
      <c r="E361" s="85"/>
      <c r="F361" s="85"/>
    </row>
    <row r="362">
      <c r="A362" s="85"/>
      <c r="B362" s="85"/>
      <c r="C362" s="85"/>
      <c r="D362" s="85"/>
      <c r="E362" s="85"/>
      <c r="F362" s="85"/>
    </row>
    <row r="363">
      <c r="A363" s="85"/>
      <c r="B363" s="85"/>
      <c r="C363" s="85"/>
      <c r="D363" s="85"/>
      <c r="E363" s="85"/>
      <c r="F363" s="85"/>
    </row>
    <row r="364">
      <c r="A364" s="85"/>
      <c r="B364" s="85"/>
      <c r="C364" s="85"/>
      <c r="D364" s="85"/>
      <c r="E364" s="85"/>
      <c r="F364" s="85"/>
    </row>
    <row r="365">
      <c r="A365" s="85"/>
      <c r="B365" s="85"/>
      <c r="C365" s="85"/>
      <c r="D365" s="85"/>
      <c r="E365" s="85"/>
      <c r="F365" s="85"/>
    </row>
    <row r="366">
      <c r="A366" s="85"/>
      <c r="B366" s="85"/>
      <c r="C366" s="85"/>
      <c r="D366" s="85"/>
      <c r="E366" s="85"/>
      <c r="F366" s="85"/>
    </row>
    <row r="367">
      <c r="A367" s="85"/>
      <c r="B367" s="85"/>
      <c r="C367" s="85"/>
      <c r="D367" s="85"/>
      <c r="E367" s="85"/>
      <c r="F367" s="85"/>
    </row>
    <row r="368">
      <c r="A368" s="85"/>
      <c r="B368" s="85"/>
      <c r="C368" s="85"/>
      <c r="D368" s="85"/>
      <c r="E368" s="85"/>
      <c r="F368" s="85"/>
    </row>
    <row r="369">
      <c r="A369" s="85"/>
      <c r="B369" s="85"/>
      <c r="C369" s="85"/>
      <c r="D369" s="85"/>
      <c r="E369" s="85"/>
      <c r="F369" s="85"/>
    </row>
    <row r="370">
      <c r="A370" s="85"/>
      <c r="B370" s="85"/>
      <c r="C370" s="85"/>
      <c r="D370" s="85"/>
      <c r="E370" s="85"/>
      <c r="F370" s="85"/>
    </row>
    <row r="371">
      <c r="A371" s="85"/>
      <c r="B371" s="85"/>
      <c r="C371" s="85"/>
      <c r="D371" s="85"/>
      <c r="E371" s="85"/>
      <c r="F371" s="85"/>
    </row>
    <row r="372">
      <c r="A372" s="85"/>
      <c r="B372" s="85"/>
      <c r="C372" s="85"/>
      <c r="D372" s="85"/>
      <c r="E372" s="85"/>
      <c r="F372" s="85"/>
    </row>
    <row r="373">
      <c r="A373" s="85"/>
      <c r="B373" s="85"/>
      <c r="C373" s="85"/>
      <c r="D373" s="85"/>
      <c r="E373" s="85"/>
      <c r="F373" s="85"/>
    </row>
    <row r="374">
      <c r="A374" s="85"/>
      <c r="B374" s="85"/>
      <c r="C374" s="85"/>
      <c r="D374" s="85"/>
      <c r="E374" s="85"/>
      <c r="F374" s="85"/>
    </row>
    <row r="375">
      <c r="A375" s="85"/>
      <c r="B375" s="85"/>
      <c r="C375" s="85"/>
      <c r="D375" s="85"/>
      <c r="E375" s="85"/>
      <c r="F375" s="85"/>
    </row>
    <row r="376">
      <c r="A376" s="85"/>
      <c r="B376" s="85"/>
      <c r="C376" s="85"/>
      <c r="D376" s="85"/>
      <c r="E376" s="85"/>
      <c r="F376" s="85"/>
    </row>
    <row r="377">
      <c r="A377" s="85"/>
      <c r="B377" s="85"/>
      <c r="C377" s="85"/>
      <c r="D377" s="85"/>
      <c r="E377" s="85"/>
      <c r="F377" s="85"/>
    </row>
    <row r="378">
      <c r="A378" s="85"/>
      <c r="B378" s="85"/>
      <c r="C378" s="85"/>
      <c r="D378" s="85"/>
      <c r="E378" s="85"/>
      <c r="F378" s="85"/>
    </row>
    <row r="379">
      <c r="A379" s="85"/>
      <c r="B379" s="85"/>
      <c r="C379" s="85"/>
      <c r="D379" s="85"/>
      <c r="E379" s="85"/>
      <c r="F379" s="85"/>
    </row>
    <row r="380">
      <c r="A380" s="85"/>
      <c r="B380" s="85"/>
      <c r="C380" s="85"/>
      <c r="D380" s="85"/>
      <c r="E380" s="85"/>
      <c r="F380" s="85"/>
    </row>
    <row r="381">
      <c r="A381" s="85"/>
      <c r="B381" s="85"/>
      <c r="C381" s="85"/>
      <c r="D381" s="85"/>
      <c r="E381" s="85"/>
      <c r="F381" s="85"/>
    </row>
    <row r="382">
      <c r="A382" s="85"/>
      <c r="B382" s="85"/>
      <c r="C382" s="85"/>
      <c r="D382" s="85"/>
      <c r="E382" s="85"/>
      <c r="F382" s="85"/>
    </row>
    <row r="383">
      <c r="A383" s="85"/>
      <c r="B383" s="85"/>
      <c r="C383" s="85"/>
      <c r="D383" s="85"/>
      <c r="E383" s="85"/>
      <c r="F383" s="85"/>
    </row>
    <row r="384">
      <c r="A384" s="85"/>
      <c r="B384" s="85"/>
      <c r="C384" s="85"/>
      <c r="D384" s="85"/>
      <c r="E384" s="85"/>
      <c r="F384" s="85"/>
    </row>
    <row r="385">
      <c r="A385" s="85"/>
      <c r="B385" s="85"/>
      <c r="C385" s="85"/>
      <c r="D385" s="85"/>
      <c r="E385" s="85"/>
      <c r="F385" s="85"/>
    </row>
    <row r="386">
      <c r="A386" s="85"/>
      <c r="B386" s="85"/>
      <c r="C386" s="85"/>
      <c r="D386" s="85"/>
      <c r="E386" s="85"/>
      <c r="F386" s="85"/>
    </row>
    <row r="387">
      <c r="A387" s="85"/>
      <c r="B387" s="85"/>
      <c r="C387" s="85"/>
      <c r="D387" s="85"/>
      <c r="E387" s="85"/>
      <c r="F387" s="85"/>
    </row>
    <row r="388">
      <c r="A388" s="85"/>
      <c r="B388" s="85"/>
      <c r="C388" s="85"/>
      <c r="D388" s="85"/>
      <c r="E388" s="85"/>
      <c r="F388" s="85"/>
    </row>
    <row r="389">
      <c r="A389" s="85"/>
      <c r="B389" s="85"/>
      <c r="C389" s="85"/>
      <c r="D389" s="85"/>
      <c r="E389" s="85"/>
      <c r="F389" s="85"/>
    </row>
    <row r="390">
      <c r="A390" s="85"/>
      <c r="B390" s="85"/>
      <c r="C390" s="85"/>
      <c r="D390" s="85"/>
      <c r="E390" s="85"/>
      <c r="F390" s="85"/>
    </row>
    <row r="391">
      <c r="A391" s="85"/>
      <c r="B391" s="85"/>
      <c r="C391" s="85"/>
      <c r="D391" s="85"/>
      <c r="E391" s="85"/>
      <c r="F391" s="85"/>
    </row>
    <row r="392">
      <c r="A392" s="85"/>
      <c r="B392" s="85"/>
      <c r="C392" s="85"/>
      <c r="D392" s="85"/>
      <c r="E392" s="85"/>
      <c r="F392" s="85"/>
    </row>
    <row r="393">
      <c r="A393" s="85"/>
      <c r="B393" s="85"/>
      <c r="C393" s="85"/>
      <c r="D393" s="85"/>
      <c r="E393" s="85"/>
      <c r="F393" s="85"/>
    </row>
    <row r="394">
      <c r="A394" s="85"/>
      <c r="B394" s="85"/>
      <c r="C394" s="85"/>
      <c r="D394" s="85"/>
      <c r="E394" s="85"/>
      <c r="F394" s="85"/>
    </row>
    <row r="395">
      <c r="A395" s="85"/>
      <c r="B395" s="85"/>
      <c r="C395" s="85"/>
      <c r="D395" s="85"/>
      <c r="E395" s="85"/>
      <c r="F395" s="85"/>
    </row>
    <row r="396">
      <c r="A396" s="85"/>
      <c r="B396" s="85"/>
      <c r="C396" s="85"/>
      <c r="D396" s="85"/>
      <c r="E396" s="85"/>
      <c r="F396" s="85"/>
    </row>
    <row r="397">
      <c r="A397" s="85"/>
      <c r="B397" s="85"/>
      <c r="C397" s="85"/>
      <c r="D397" s="85"/>
      <c r="E397" s="85"/>
      <c r="F397" s="85"/>
    </row>
    <row r="398">
      <c r="A398" s="85"/>
      <c r="B398" s="85"/>
      <c r="C398" s="85"/>
      <c r="D398" s="85"/>
      <c r="E398" s="85"/>
      <c r="F398" s="85"/>
    </row>
    <row r="399">
      <c r="A399" s="85"/>
      <c r="B399" s="85"/>
      <c r="C399" s="85"/>
      <c r="D399" s="85"/>
      <c r="E399" s="85"/>
      <c r="F399" s="85"/>
    </row>
    <row r="400">
      <c r="A400" s="85"/>
      <c r="B400" s="85"/>
      <c r="C400" s="85"/>
      <c r="D400" s="85"/>
      <c r="E400" s="85"/>
      <c r="F400" s="85"/>
    </row>
    <row r="401">
      <c r="A401" s="85"/>
      <c r="B401" s="85"/>
      <c r="C401" s="85"/>
      <c r="D401" s="85"/>
      <c r="E401" s="85"/>
      <c r="F401" s="85"/>
    </row>
    <row r="402">
      <c r="A402" s="85"/>
      <c r="B402" s="85"/>
      <c r="C402" s="85"/>
      <c r="D402" s="85"/>
      <c r="E402" s="85"/>
      <c r="F402" s="85"/>
    </row>
    <row r="403">
      <c r="A403" s="85"/>
      <c r="B403" s="85"/>
      <c r="C403" s="85"/>
      <c r="D403" s="85"/>
      <c r="E403" s="85"/>
      <c r="F403" s="85"/>
    </row>
    <row r="404">
      <c r="A404" s="85"/>
      <c r="B404" s="85"/>
      <c r="C404" s="85"/>
      <c r="D404" s="85"/>
      <c r="E404" s="85"/>
      <c r="F404" s="85"/>
    </row>
    <row r="405">
      <c r="A405" s="85"/>
      <c r="B405" s="85"/>
      <c r="C405" s="85"/>
      <c r="D405" s="85"/>
      <c r="E405" s="85"/>
      <c r="F405" s="85"/>
    </row>
    <row r="406">
      <c r="A406" s="85"/>
      <c r="B406" s="85"/>
      <c r="C406" s="85"/>
      <c r="D406" s="85"/>
      <c r="E406" s="85"/>
      <c r="F406" s="85"/>
    </row>
    <row r="407">
      <c r="A407" s="85"/>
      <c r="B407" s="85"/>
      <c r="C407" s="85"/>
      <c r="D407" s="85"/>
      <c r="E407" s="85"/>
      <c r="F407" s="85"/>
    </row>
    <row r="408">
      <c r="A408" s="85"/>
      <c r="B408" s="85"/>
      <c r="C408" s="85"/>
      <c r="D408" s="85"/>
      <c r="E408" s="85"/>
      <c r="F408" s="85"/>
    </row>
    <row r="409">
      <c r="A409" s="85"/>
      <c r="B409" s="85"/>
      <c r="C409" s="85"/>
      <c r="D409" s="85"/>
      <c r="E409" s="85"/>
      <c r="F409" s="85"/>
    </row>
    <row r="410">
      <c r="A410" s="85"/>
      <c r="B410" s="85"/>
      <c r="C410" s="85"/>
      <c r="D410" s="85"/>
      <c r="E410" s="85"/>
      <c r="F410" s="85"/>
    </row>
    <row r="411">
      <c r="A411" s="85"/>
      <c r="B411" s="85"/>
      <c r="C411" s="85"/>
      <c r="D411" s="85"/>
      <c r="E411" s="85"/>
      <c r="F411" s="85"/>
    </row>
    <row r="412">
      <c r="A412" s="85"/>
      <c r="B412" s="85"/>
      <c r="C412" s="85"/>
      <c r="D412" s="85"/>
      <c r="E412" s="85"/>
      <c r="F412" s="85"/>
    </row>
    <row r="413">
      <c r="A413" s="85"/>
      <c r="B413" s="85"/>
      <c r="C413" s="85"/>
      <c r="D413" s="85"/>
      <c r="E413" s="85"/>
      <c r="F413" s="85"/>
    </row>
    <row r="414">
      <c r="A414" s="85"/>
      <c r="B414" s="85"/>
      <c r="C414" s="85"/>
      <c r="D414" s="85"/>
      <c r="E414" s="85"/>
      <c r="F414" s="85"/>
    </row>
    <row r="415">
      <c r="A415" s="85"/>
      <c r="B415" s="85"/>
      <c r="C415" s="85"/>
      <c r="D415" s="85"/>
      <c r="E415" s="85"/>
      <c r="F415" s="85"/>
    </row>
    <row r="416">
      <c r="A416" s="85"/>
      <c r="B416" s="85"/>
      <c r="C416" s="85"/>
      <c r="D416" s="85"/>
      <c r="E416" s="85"/>
      <c r="F416" s="85"/>
    </row>
    <row r="417">
      <c r="A417" s="85"/>
      <c r="B417" s="85"/>
      <c r="C417" s="85"/>
      <c r="D417" s="85"/>
      <c r="E417" s="85"/>
      <c r="F417" s="85"/>
    </row>
    <row r="418">
      <c r="A418" s="85"/>
      <c r="B418" s="85"/>
      <c r="C418" s="85"/>
      <c r="D418" s="85"/>
      <c r="E418" s="85"/>
      <c r="F418" s="85"/>
    </row>
    <row r="419">
      <c r="A419" s="85"/>
      <c r="B419" s="85"/>
      <c r="C419" s="85"/>
      <c r="D419" s="85"/>
      <c r="E419" s="85"/>
      <c r="F419" s="85"/>
    </row>
    <row r="420">
      <c r="A420" s="85"/>
      <c r="B420" s="85"/>
      <c r="C420" s="85"/>
      <c r="D420" s="85"/>
      <c r="E420" s="85"/>
      <c r="F420" s="85"/>
    </row>
    <row r="421">
      <c r="A421" s="85"/>
      <c r="B421" s="85"/>
      <c r="C421" s="85"/>
      <c r="D421" s="85"/>
      <c r="E421" s="85"/>
      <c r="F421" s="85"/>
    </row>
    <row r="422">
      <c r="A422" s="85"/>
      <c r="B422" s="85"/>
      <c r="C422" s="85"/>
      <c r="D422" s="85"/>
      <c r="E422" s="85"/>
      <c r="F422" s="85"/>
    </row>
    <row r="423">
      <c r="A423" s="85"/>
      <c r="B423" s="85"/>
      <c r="C423" s="85"/>
      <c r="D423" s="85"/>
      <c r="E423" s="85"/>
      <c r="F423" s="85"/>
    </row>
    <row r="424">
      <c r="A424" s="85"/>
      <c r="B424" s="85"/>
      <c r="C424" s="85"/>
      <c r="D424" s="85"/>
      <c r="E424" s="85"/>
      <c r="F424" s="85"/>
    </row>
    <row r="425">
      <c r="A425" s="85"/>
      <c r="B425" s="85"/>
      <c r="C425" s="85"/>
      <c r="D425" s="85"/>
      <c r="E425" s="85"/>
      <c r="F425" s="85"/>
    </row>
    <row r="426">
      <c r="A426" s="85"/>
      <c r="B426" s="85"/>
      <c r="C426" s="85"/>
      <c r="D426" s="85"/>
      <c r="E426" s="85"/>
      <c r="F426" s="85"/>
    </row>
    <row r="427">
      <c r="A427" s="85"/>
      <c r="B427" s="85"/>
      <c r="C427" s="85"/>
      <c r="D427" s="85"/>
      <c r="E427" s="85"/>
      <c r="F427" s="85"/>
    </row>
    <row r="428">
      <c r="A428" s="85"/>
      <c r="B428" s="85"/>
      <c r="C428" s="85"/>
      <c r="D428" s="85"/>
      <c r="E428" s="85"/>
      <c r="F428" s="85"/>
    </row>
    <row r="429">
      <c r="A429" s="85"/>
      <c r="B429" s="85"/>
      <c r="C429" s="85"/>
      <c r="D429" s="85"/>
      <c r="E429" s="85"/>
      <c r="F429" s="85"/>
    </row>
    <row r="430">
      <c r="A430" s="85"/>
      <c r="B430" s="85"/>
      <c r="C430" s="85"/>
      <c r="D430" s="85"/>
      <c r="E430" s="85"/>
      <c r="F430" s="85"/>
    </row>
    <row r="431">
      <c r="A431" s="85"/>
      <c r="B431" s="85"/>
      <c r="C431" s="85"/>
      <c r="D431" s="85"/>
      <c r="E431" s="85"/>
      <c r="F431" s="85"/>
    </row>
    <row r="432">
      <c r="A432" s="85"/>
      <c r="B432" s="85"/>
      <c r="C432" s="85"/>
      <c r="D432" s="85"/>
      <c r="E432" s="85"/>
      <c r="F432" s="85"/>
    </row>
    <row r="433">
      <c r="A433" s="85"/>
      <c r="B433" s="85"/>
      <c r="C433" s="85"/>
      <c r="D433" s="85"/>
      <c r="E433" s="85"/>
      <c r="F433" s="85"/>
    </row>
    <row r="434">
      <c r="A434" s="85"/>
      <c r="B434" s="85"/>
      <c r="C434" s="85"/>
      <c r="D434" s="85"/>
      <c r="E434" s="85"/>
      <c r="F434" s="85"/>
    </row>
    <row r="435">
      <c r="A435" s="85"/>
      <c r="B435" s="85"/>
      <c r="C435" s="85"/>
      <c r="D435" s="85"/>
      <c r="E435" s="85"/>
      <c r="F435" s="85"/>
    </row>
    <row r="436">
      <c r="A436" s="85"/>
      <c r="B436" s="85"/>
      <c r="C436" s="85"/>
      <c r="D436" s="85"/>
      <c r="E436" s="85"/>
      <c r="F436" s="85"/>
    </row>
    <row r="437">
      <c r="A437" s="85"/>
      <c r="B437" s="85"/>
      <c r="C437" s="85"/>
      <c r="D437" s="85"/>
      <c r="E437" s="85"/>
      <c r="F437" s="85"/>
    </row>
    <row r="438">
      <c r="A438" s="85"/>
      <c r="B438" s="85"/>
      <c r="C438" s="85"/>
      <c r="D438" s="85"/>
      <c r="E438" s="85"/>
      <c r="F438" s="85"/>
    </row>
    <row r="439">
      <c r="A439" s="85"/>
      <c r="B439" s="85"/>
      <c r="C439" s="85"/>
      <c r="D439" s="85"/>
      <c r="E439" s="85"/>
      <c r="F439" s="85"/>
    </row>
    <row r="440">
      <c r="A440" s="85"/>
      <c r="B440" s="85"/>
      <c r="C440" s="85"/>
      <c r="D440" s="85"/>
      <c r="E440" s="85"/>
      <c r="F440" s="85"/>
    </row>
    <row r="441">
      <c r="A441" s="85"/>
      <c r="B441" s="85"/>
      <c r="C441" s="85"/>
      <c r="D441" s="85"/>
      <c r="E441" s="85"/>
      <c r="F441" s="85"/>
    </row>
    <row r="442">
      <c r="A442" s="85"/>
      <c r="B442" s="85"/>
      <c r="C442" s="85"/>
      <c r="D442" s="85"/>
      <c r="E442" s="85"/>
      <c r="F442" s="85"/>
    </row>
    <row r="443">
      <c r="A443" s="85"/>
      <c r="B443" s="85"/>
      <c r="C443" s="85"/>
      <c r="D443" s="85"/>
      <c r="E443" s="85"/>
      <c r="F443" s="85"/>
    </row>
    <row r="444">
      <c r="A444" s="85"/>
      <c r="B444" s="85"/>
      <c r="C444" s="85"/>
      <c r="D444" s="85"/>
      <c r="E444" s="85"/>
      <c r="F444" s="85"/>
    </row>
    <row r="445">
      <c r="A445" s="85"/>
      <c r="B445" s="85"/>
      <c r="C445" s="85"/>
      <c r="D445" s="85"/>
      <c r="E445" s="85"/>
      <c r="F445" s="85"/>
    </row>
    <row r="446">
      <c r="A446" s="85"/>
      <c r="B446" s="85"/>
      <c r="C446" s="85"/>
      <c r="D446" s="85"/>
      <c r="E446" s="85"/>
      <c r="F446" s="85"/>
    </row>
    <row r="447">
      <c r="A447" s="85"/>
      <c r="B447" s="85"/>
      <c r="C447" s="85"/>
      <c r="D447" s="85"/>
      <c r="E447" s="85"/>
      <c r="F447" s="85"/>
    </row>
    <row r="448">
      <c r="A448" s="85"/>
      <c r="B448" s="85"/>
      <c r="C448" s="85"/>
      <c r="D448" s="85"/>
      <c r="E448" s="85"/>
      <c r="F448" s="85"/>
    </row>
    <row r="449">
      <c r="A449" s="85"/>
      <c r="B449" s="85"/>
      <c r="C449" s="85"/>
      <c r="D449" s="85"/>
      <c r="E449" s="85"/>
      <c r="F449" s="85"/>
    </row>
    <row r="450">
      <c r="A450" s="85"/>
      <c r="B450" s="85"/>
      <c r="C450" s="85"/>
      <c r="D450" s="85"/>
      <c r="E450" s="85"/>
      <c r="F450" s="85"/>
    </row>
    <row r="451">
      <c r="A451" s="85"/>
      <c r="B451" s="85"/>
      <c r="C451" s="85"/>
      <c r="D451" s="85"/>
      <c r="E451" s="85"/>
      <c r="F451" s="85"/>
    </row>
    <row r="452">
      <c r="A452" s="85"/>
      <c r="B452" s="85"/>
      <c r="C452" s="85"/>
      <c r="D452" s="85"/>
      <c r="E452" s="85"/>
      <c r="F452" s="85"/>
    </row>
    <row r="453">
      <c r="A453" s="85"/>
      <c r="B453" s="85"/>
      <c r="C453" s="85"/>
      <c r="D453" s="85"/>
      <c r="E453" s="85"/>
      <c r="F453" s="85"/>
    </row>
    <row r="454">
      <c r="A454" s="85"/>
      <c r="B454" s="85"/>
      <c r="C454" s="85"/>
      <c r="D454" s="85"/>
      <c r="E454" s="85"/>
      <c r="F454" s="85"/>
    </row>
    <row r="455">
      <c r="A455" s="85"/>
      <c r="B455" s="85"/>
      <c r="C455" s="85"/>
      <c r="D455" s="85"/>
      <c r="E455" s="85"/>
      <c r="F455" s="85"/>
    </row>
    <row r="456">
      <c r="A456" s="85"/>
      <c r="B456" s="85"/>
      <c r="C456" s="85"/>
      <c r="D456" s="85"/>
      <c r="E456" s="85"/>
      <c r="F456" s="85"/>
    </row>
    <row r="457">
      <c r="A457" s="85"/>
      <c r="B457" s="85"/>
      <c r="C457" s="85"/>
      <c r="D457" s="85"/>
      <c r="E457" s="85"/>
      <c r="F457" s="85"/>
    </row>
    <row r="458">
      <c r="A458" s="85"/>
      <c r="B458" s="85"/>
      <c r="C458" s="85"/>
      <c r="D458" s="85"/>
      <c r="E458" s="85"/>
      <c r="F458" s="85"/>
    </row>
    <row r="459">
      <c r="A459" s="85"/>
      <c r="B459" s="85"/>
      <c r="C459" s="85"/>
      <c r="D459" s="85"/>
      <c r="E459" s="85"/>
      <c r="F459" s="85"/>
    </row>
    <row r="460">
      <c r="A460" s="85"/>
      <c r="B460" s="85"/>
      <c r="C460" s="85"/>
      <c r="D460" s="85"/>
      <c r="E460" s="85"/>
      <c r="F460" s="85"/>
    </row>
    <row r="461">
      <c r="A461" s="85"/>
      <c r="B461" s="85"/>
      <c r="C461" s="85"/>
      <c r="D461" s="85"/>
      <c r="E461" s="85"/>
      <c r="F461" s="85"/>
    </row>
    <row r="462">
      <c r="A462" s="85"/>
      <c r="B462" s="85"/>
      <c r="C462" s="85"/>
      <c r="D462" s="85"/>
      <c r="E462" s="85"/>
      <c r="F462" s="85"/>
    </row>
    <row r="463">
      <c r="A463" s="85"/>
      <c r="B463" s="85"/>
      <c r="C463" s="85"/>
      <c r="D463" s="85"/>
      <c r="E463" s="85"/>
      <c r="F463" s="85"/>
    </row>
    <row r="464">
      <c r="A464" s="85"/>
      <c r="B464" s="85"/>
      <c r="C464" s="85"/>
      <c r="D464" s="85"/>
      <c r="E464" s="85"/>
      <c r="F464" s="85"/>
    </row>
    <row r="465">
      <c r="A465" s="85"/>
      <c r="B465" s="85"/>
      <c r="C465" s="85"/>
      <c r="D465" s="85"/>
      <c r="E465" s="85"/>
      <c r="F465" s="85"/>
    </row>
    <row r="466">
      <c r="A466" s="85"/>
      <c r="B466" s="85"/>
      <c r="C466" s="85"/>
      <c r="D466" s="85"/>
      <c r="E466" s="85"/>
      <c r="F466" s="85"/>
    </row>
    <row r="467">
      <c r="A467" s="85"/>
      <c r="B467" s="85"/>
      <c r="C467" s="85"/>
      <c r="D467" s="85"/>
      <c r="E467" s="85"/>
      <c r="F467" s="85"/>
    </row>
    <row r="468">
      <c r="A468" s="85"/>
      <c r="B468" s="85"/>
      <c r="C468" s="85"/>
      <c r="D468" s="85"/>
      <c r="E468" s="85"/>
      <c r="F468" s="85"/>
    </row>
    <row r="469">
      <c r="A469" s="85"/>
      <c r="B469" s="85"/>
      <c r="C469" s="85"/>
      <c r="D469" s="85"/>
      <c r="E469" s="85"/>
      <c r="F469" s="85"/>
    </row>
    <row r="470">
      <c r="A470" s="85"/>
      <c r="B470" s="85"/>
      <c r="C470" s="85"/>
      <c r="D470" s="85"/>
      <c r="E470" s="85"/>
      <c r="F470" s="85"/>
    </row>
    <row r="471">
      <c r="A471" s="85"/>
      <c r="B471" s="85"/>
      <c r="C471" s="85"/>
      <c r="D471" s="85"/>
      <c r="E471" s="85"/>
      <c r="F471" s="85"/>
    </row>
    <row r="472">
      <c r="A472" s="85"/>
      <c r="B472" s="85"/>
      <c r="C472" s="85"/>
      <c r="D472" s="85"/>
      <c r="E472" s="85"/>
      <c r="F472" s="85"/>
    </row>
    <row r="473">
      <c r="A473" s="85"/>
      <c r="B473" s="85"/>
      <c r="C473" s="85"/>
      <c r="D473" s="85"/>
      <c r="E473" s="85"/>
      <c r="F473" s="85"/>
    </row>
    <row r="474">
      <c r="A474" s="85"/>
      <c r="B474" s="85"/>
      <c r="C474" s="85"/>
      <c r="D474" s="85"/>
      <c r="E474" s="85"/>
      <c r="F474" s="85"/>
    </row>
    <row r="475">
      <c r="A475" s="85"/>
      <c r="B475" s="85"/>
      <c r="C475" s="85"/>
      <c r="D475" s="85"/>
      <c r="E475" s="85"/>
      <c r="F475" s="85"/>
    </row>
    <row r="476">
      <c r="A476" s="85"/>
      <c r="B476" s="85"/>
      <c r="C476" s="85"/>
      <c r="D476" s="85"/>
      <c r="E476" s="85"/>
      <c r="F476" s="85"/>
    </row>
    <row r="477">
      <c r="A477" s="85"/>
      <c r="B477" s="85"/>
      <c r="C477" s="85"/>
      <c r="D477" s="85"/>
      <c r="E477" s="85"/>
      <c r="F477" s="85"/>
    </row>
    <row r="478">
      <c r="A478" s="85"/>
      <c r="B478" s="85"/>
      <c r="C478" s="85"/>
      <c r="D478" s="85"/>
      <c r="E478" s="85"/>
      <c r="F478" s="85"/>
    </row>
    <row r="479">
      <c r="A479" s="85"/>
      <c r="B479" s="85"/>
      <c r="C479" s="85"/>
      <c r="D479" s="85"/>
      <c r="E479" s="85"/>
      <c r="F479" s="85"/>
    </row>
    <row r="480">
      <c r="A480" s="85"/>
      <c r="B480" s="85"/>
      <c r="C480" s="85"/>
      <c r="D480" s="85"/>
      <c r="E480" s="85"/>
      <c r="F480" s="85"/>
    </row>
    <row r="481">
      <c r="A481" s="85"/>
      <c r="B481" s="85"/>
      <c r="C481" s="85"/>
      <c r="D481" s="85"/>
      <c r="E481" s="85"/>
      <c r="F481" s="85"/>
    </row>
    <row r="482">
      <c r="A482" s="85"/>
      <c r="B482" s="85"/>
      <c r="C482" s="85"/>
      <c r="D482" s="85"/>
      <c r="E482" s="85"/>
      <c r="F482" s="85"/>
    </row>
    <row r="483">
      <c r="A483" s="85"/>
      <c r="B483" s="85"/>
      <c r="C483" s="85"/>
      <c r="D483" s="85"/>
      <c r="E483" s="85"/>
      <c r="F483" s="85"/>
    </row>
    <row r="484">
      <c r="A484" s="85"/>
      <c r="B484" s="85"/>
      <c r="C484" s="85"/>
      <c r="D484" s="85"/>
      <c r="E484" s="85"/>
      <c r="F484" s="85"/>
    </row>
    <row r="485">
      <c r="A485" s="85"/>
      <c r="B485" s="85"/>
      <c r="C485" s="85"/>
      <c r="D485" s="85"/>
      <c r="E485" s="85"/>
      <c r="F485" s="85"/>
    </row>
    <row r="486">
      <c r="A486" s="85"/>
      <c r="B486" s="85"/>
      <c r="C486" s="85"/>
      <c r="D486" s="85"/>
      <c r="E486" s="85"/>
      <c r="F486" s="85"/>
    </row>
    <row r="487">
      <c r="A487" s="85"/>
      <c r="B487" s="85"/>
      <c r="C487" s="85"/>
      <c r="D487" s="85"/>
      <c r="E487" s="85"/>
      <c r="F487" s="85"/>
    </row>
    <row r="488">
      <c r="A488" s="85"/>
      <c r="B488" s="85"/>
      <c r="C488" s="85"/>
      <c r="D488" s="85"/>
      <c r="E488" s="85"/>
      <c r="F488" s="85"/>
    </row>
    <row r="489">
      <c r="A489" s="85"/>
      <c r="B489" s="85"/>
      <c r="C489" s="85"/>
      <c r="D489" s="85"/>
      <c r="E489" s="85"/>
      <c r="F489" s="85"/>
    </row>
    <row r="490">
      <c r="A490" s="85"/>
      <c r="B490" s="85"/>
      <c r="C490" s="85"/>
      <c r="D490" s="85"/>
      <c r="E490" s="85"/>
      <c r="F490" s="85"/>
    </row>
    <row r="491">
      <c r="A491" s="85"/>
      <c r="B491" s="85"/>
      <c r="C491" s="85"/>
      <c r="D491" s="85"/>
      <c r="E491" s="85"/>
      <c r="F491" s="85"/>
    </row>
    <row r="492">
      <c r="A492" s="85"/>
      <c r="B492" s="85"/>
      <c r="C492" s="85"/>
      <c r="D492" s="85"/>
      <c r="E492" s="85"/>
      <c r="F492" s="85"/>
    </row>
    <row r="493">
      <c r="A493" s="85"/>
      <c r="B493" s="85"/>
      <c r="C493" s="85"/>
      <c r="D493" s="85"/>
      <c r="E493" s="85"/>
      <c r="F493" s="85"/>
    </row>
    <row r="494">
      <c r="A494" s="85"/>
      <c r="B494" s="85"/>
      <c r="C494" s="85"/>
      <c r="D494" s="85"/>
      <c r="E494" s="85"/>
      <c r="F494" s="85"/>
    </row>
    <row r="495">
      <c r="A495" s="85"/>
      <c r="B495" s="85"/>
      <c r="C495" s="85"/>
      <c r="D495" s="85"/>
      <c r="E495" s="85"/>
      <c r="F495" s="85"/>
    </row>
    <row r="496">
      <c r="A496" s="85"/>
      <c r="B496" s="85"/>
      <c r="C496" s="85"/>
      <c r="D496" s="85"/>
      <c r="E496" s="85"/>
      <c r="F496" s="85"/>
    </row>
    <row r="497">
      <c r="A497" s="85"/>
      <c r="B497" s="85"/>
      <c r="C497" s="85"/>
      <c r="D497" s="85"/>
      <c r="E497" s="85"/>
      <c r="F497" s="85"/>
    </row>
    <row r="498">
      <c r="A498" s="85"/>
      <c r="B498" s="85"/>
      <c r="C498" s="85"/>
      <c r="D498" s="85"/>
      <c r="E498" s="85"/>
      <c r="F498" s="85"/>
    </row>
    <row r="499">
      <c r="A499" s="85"/>
      <c r="B499" s="85"/>
      <c r="C499" s="85"/>
      <c r="D499" s="85"/>
      <c r="E499" s="85"/>
      <c r="F499" s="85"/>
    </row>
    <row r="500">
      <c r="A500" s="85"/>
      <c r="B500" s="85"/>
      <c r="C500" s="85"/>
      <c r="D500" s="85"/>
      <c r="E500" s="85"/>
      <c r="F500" s="85"/>
    </row>
    <row r="501">
      <c r="A501" s="85"/>
      <c r="B501" s="85"/>
      <c r="C501" s="85"/>
      <c r="D501" s="85"/>
      <c r="E501" s="85"/>
      <c r="F501" s="85"/>
    </row>
    <row r="502">
      <c r="A502" s="85"/>
      <c r="B502" s="85"/>
      <c r="C502" s="85"/>
      <c r="D502" s="85"/>
      <c r="E502" s="85"/>
      <c r="F502" s="85"/>
    </row>
    <row r="503">
      <c r="A503" s="85"/>
      <c r="B503" s="85"/>
      <c r="C503" s="85"/>
      <c r="D503" s="85"/>
      <c r="E503" s="85"/>
      <c r="F503" s="85"/>
    </row>
    <row r="504">
      <c r="A504" s="85"/>
      <c r="B504" s="85"/>
      <c r="C504" s="85"/>
      <c r="D504" s="85"/>
      <c r="E504" s="85"/>
      <c r="F504" s="85"/>
    </row>
    <row r="505">
      <c r="A505" s="85"/>
      <c r="B505" s="85"/>
      <c r="C505" s="85"/>
      <c r="D505" s="85"/>
      <c r="E505" s="85"/>
      <c r="F505" s="85"/>
    </row>
    <row r="506">
      <c r="A506" s="85"/>
      <c r="B506" s="85"/>
      <c r="C506" s="85"/>
      <c r="D506" s="85"/>
      <c r="E506" s="85"/>
      <c r="F506" s="85"/>
    </row>
    <row r="507">
      <c r="A507" s="85"/>
      <c r="B507" s="85"/>
      <c r="C507" s="85"/>
      <c r="D507" s="85"/>
      <c r="E507" s="85"/>
      <c r="F507" s="85"/>
    </row>
    <row r="508">
      <c r="A508" s="85"/>
      <c r="B508" s="85"/>
      <c r="C508" s="85"/>
      <c r="D508" s="85"/>
      <c r="E508" s="85"/>
      <c r="F508" s="85"/>
    </row>
    <row r="509">
      <c r="A509" s="85"/>
      <c r="B509" s="85"/>
      <c r="C509" s="85"/>
      <c r="D509" s="85"/>
      <c r="E509" s="85"/>
      <c r="F509" s="85"/>
    </row>
    <row r="510">
      <c r="A510" s="85"/>
      <c r="B510" s="85"/>
      <c r="C510" s="85"/>
      <c r="D510" s="85"/>
      <c r="E510" s="85"/>
      <c r="F510" s="85"/>
    </row>
    <row r="511">
      <c r="A511" s="85"/>
      <c r="B511" s="85"/>
      <c r="C511" s="85"/>
      <c r="D511" s="85"/>
      <c r="E511" s="85"/>
      <c r="F511" s="85"/>
    </row>
    <row r="512">
      <c r="A512" s="85"/>
      <c r="B512" s="85"/>
      <c r="C512" s="85"/>
      <c r="D512" s="85"/>
      <c r="E512" s="85"/>
      <c r="F512" s="85"/>
    </row>
    <row r="513">
      <c r="A513" s="85"/>
      <c r="B513" s="85"/>
      <c r="C513" s="85"/>
      <c r="D513" s="85"/>
      <c r="E513" s="85"/>
      <c r="F513" s="85"/>
    </row>
    <row r="514">
      <c r="A514" s="85"/>
      <c r="B514" s="85"/>
      <c r="C514" s="85"/>
      <c r="D514" s="85"/>
      <c r="E514" s="85"/>
      <c r="F514" s="85"/>
    </row>
    <row r="515">
      <c r="A515" s="85"/>
      <c r="B515" s="85"/>
      <c r="C515" s="85"/>
      <c r="D515" s="85"/>
      <c r="E515" s="85"/>
      <c r="F515" s="85"/>
    </row>
    <row r="516">
      <c r="A516" s="85"/>
      <c r="B516" s="85"/>
      <c r="C516" s="85"/>
      <c r="D516" s="85"/>
      <c r="E516" s="85"/>
      <c r="F516" s="85"/>
    </row>
    <row r="517">
      <c r="A517" s="85"/>
      <c r="B517" s="85"/>
      <c r="C517" s="85"/>
      <c r="D517" s="85"/>
      <c r="E517" s="85"/>
      <c r="F517" s="85"/>
    </row>
    <row r="518">
      <c r="A518" s="85"/>
      <c r="B518" s="85"/>
      <c r="C518" s="85"/>
      <c r="D518" s="85"/>
      <c r="E518" s="85"/>
      <c r="F518" s="85"/>
    </row>
    <row r="519">
      <c r="A519" s="85"/>
      <c r="B519" s="85"/>
      <c r="C519" s="85"/>
      <c r="D519" s="85"/>
      <c r="E519" s="85"/>
      <c r="F519" s="85"/>
    </row>
    <row r="520">
      <c r="A520" s="85"/>
      <c r="B520" s="85"/>
      <c r="C520" s="85"/>
      <c r="D520" s="85"/>
      <c r="E520" s="85"/>
      <c r="F520" s="85"/>
    </row>
    <row r="521">
      <c r="A521" s="85"/>
      <c r="B521" s="85"/>
      <c r="C521" s="85"/>
      <c r="D521" s="85"/>
      <c r="E521" s="85"/>
      <c r="F521" s="85"/>
    </row>
    <row r="522">
      <c r="A522" s="85"/>
      <c r="B522" s="85"/>
      <c r="C522" s="85"/>
      <c r="D522" s="85"/>
      <c r="E522" s="85"/>
      <c r="F522" s="85"/>
    </row>
    <row r="523">
      <c r="A523" s="85"/>
      <c r="B523" s="85"/>
      <c r="C523" s="85"/>
      <c r="D523" s="85"/>
      <c r="E523" s="85"/>
      <c r="F523" s="85"/>
    </row>
    <row r="524">
      <c r="A524" s="85"/>
      <c r="B524" s="85"/>
      <c r="C524" s="85"/>
      <c r="D524" s="85"/>
      <c r="E524" s="85"/>
      <c r="F524" s="85"/>
    </row>
    <row r="525">
      <c r="A525" s="85"/>
      <c r="B525" s="85"/>
      <c r="C525" s="85"/>
      <c r="D525" s="85"/>
      <c r="E525" s="85"/>
      <c r="F525" s="85"/>
    </row>
    <row r="526">
      <c r="A526" s="85"/>
      <c r="B526" s="85"/>
      <c r="C526" s="85"/>
      <c r="D526" s="85"/>
      <c r="E526" s="85"/>
      <c r="F526" s="85"/>
    </row>
    <row r="527">
      <c r="A527" s="85"/>
      <c r="B527" s="85"/>
      <c r="C527" s="85"/>
      <c r="D527" s="85"/>
      <c r="E527" s="85"/>
      <c r="F527" s="85"/>
    </row>
    <row r="528">
      <c r="A528" s="85"/>
      <c r="B528" s="85"/>
      <c r="C528" s="85"/>
      <c r="D528" s="85"/>
      <c r="E528" s="85"/>
      <c r="F528" s="85"/>
    </row>
    <row r="529">
      <c r="A529" s="85"/>
      <c r="B529" s="85"/>
      <c r="C529" s="85"/>
      <c r="D529" s="85"/>
      <c r="E529" s="85"/>
      <c r="F529" s="85"/>
    </row>
    <row r="530">
      <c r="A530" s="85"/>
      <c r="B530" s="85"/>
      <c r="C530" s="85"/>
      <c r="D530" s="85"/>
      <c r="E530" s="85"/>
      <c r="F530" s="85"/>
    </row>
    <row r="531">
      <c r="A531" s="85"/>
      <c r="B531" s="85"/>
      <c r="C531" s="85"/>
      <c r="D531" s="85"/>
      <c r="E531" s="85"/>
      <c r="F531" s="85"/>
    </row>
    <row r="532">
      <c r="A532" s="85"/>
      <c r="B532" s="85"/>
      <c r="C532" s="85"/>
      <c r="D532" s="85"/>
      <c r="E532" s="85"/>
      <c r="F532" s="85"/>
    </row>
    <row r="533">
      <c r="A533" s="85"/>
      <c r="B533" s="85"/>
      <c r="C533" s="85"/>
      <c r="D533" s="85"/>
      <c r="E533" s="85"/>
      <c r="F533" s="85"/>
    </row>
    <row r="534">
      <c r="A534" s="85"/>
      <c r="B534" s="85"/>
      <c r="C534" s="85"/>
      <c r="D534" s="85"/>
      <c r="E534" s="85"/>
      <c r="F534" s="85"/>
    </row>
    <row r="535">
      <c r="A535" s="85"/>
      <c r="B535" s="85"/>
      <c r="C535" s="85"/>
      <c r="D535" s="85"/>
      <c r="E535" s="85"/>
      <c r="F535" s="85"/>
    </row>
    <row r="536">
      <c r="A536" s="85"/>
      <c r="B536" s="85"/>
      <c r="C536" s="85"/>
      <c r="D536" s="85"/>
      <c r="E536" s="85"/>
      <c r="F536" s="85"/>
    </row>
    <row r="537">
      <c r="A537" s="85"/>
      <c r="B537" s="85"/>
      <c r="C537" s="85"/>
      <c r="D537" s="85"/>
      <c r="E537" s="85"/>
      <c r="F537" s="85"/>
    </row>
    <row r="538">
      <c r="A538" s="85"/>
      <c r="B538" s="85"/>
      <c r="C538" s="85"/>
      <c r="D538" s="85"/>
      <c r="E538" s="85"/>
      <c r="F538" s="85"/>
    </row>
    <row r="539">
      <c r="A539" s="85"/>
      <c r="B539" s="85"/>
      <c r="C539" s="85"/>
      <c r="D539" s="85"/>
      <c r="E539" s="85"/>
      <c r="F539" s="85"/>
    </row>
    <row r="540">
      <c r="A540" s="85"/>
      <c r="B540" s="85"/>
      <c r="C540" s="85"/>
      <c r="D540" s="85"/>
      <c r="E540" s="85"/>
      <c r="F540" s="85"/>
    </row>
    <row r="541">
      <c r="A541" s="85"/>
      <c r="B541" s="85"/>
      <c r="C541" s="85"/>
      <c r="D541" s="85"/>
      <c r="E541" s="85"/>
      <c r="F541" s="85"/>
    </row>
    <row r="542">
      <c r="A542" s="85"/>
      <c r="B542" s="85"/>
      <c r="C542" s="85"/>
      <c r="D542" s="85"/>
      <c r="E542" s="85"/>
      <c r="F542" s="85"/>
    </row>
    <row r="543">
      <c r="A543" s="85"/>
      <c r="B543" s="85"/>
      <c r="C543" s="85"/>
      <c r="D543" s="85"/>
      <c r="E543" s="85"/>
      <c r="F543" s="85"/>
    </row>
    <row r="544">
      <c r="A544" s="85"/>
      <c r="B544" s="85"/>
      <c r="C544" s="85"/>
      <c r="D544" s="85"/>
      <c r="E544" s="85"/>
      <c r="F544" s="85"/>
    </row>
    <row r="545">
      <c r="A545" s="85"/>
      <c r="B545" s="85"/>
      <c r="C545" s="85"/>
      <c r="D545" s="85"/>
      <c r="E545" s="85"/>
      <c r="F545" s="85"/>
    </row>
    <row r="546">
      <c r="A546" s="85"/>
      <c r="B546" s="85"/>
      <c r="C546" s="85"/>
      <c r="D546" s="85"/>
      <c r="E546" s="85"/>
      <c r="F546" s="85"/>
    </row>
    <row r="547">
      <c r="A547" s="85"/>
      <c r="B547" s="85"/>
      <c r="C547" s="85"/>
      <c r="D547" s="85"/>
      <c r="E547" s="85"/>
      <c r="F547" s="85"/>
    </row>
    <row r="548">
      <c r="A548" s="85"/>
      <c r="B548" s="85"/>
      <c r="C548" s="85"/>
      <c r="D548" s="85"/>
      <c r="E548" s="85"/>
      <c r="F548" s="85"/>
    </row>
    <row r="549">
      <c r="A549" s="85"/>
      <c r="B549" s="85"/>
      <c r="C549" s="85"/>
      <c r="D549" s="85"/>
      <c r="E549" s="85"/>
      <c r="F549" s="85"/>
    </row>
    <row r="550">
      <c r="A550" s="85"/>
      <c r="B550" s="85"/>
      <c r="C550" s="85"/>
      <c r="D550" s="85"/>
      <c r="E550" s="85"/>
      <c r="F550" s="85"/>
    </row>
    <row r="551">
      <c r="A551" s="85"/>
      <c r="B551" s="85"/>
      <c r="C551" s="85"/>
      <c r="D551" s="85"/>
      <c r="E551" s="85"/>
      <c r="F551" s="85"/>
    </row>
    <row r="552">
      <c r="A552" s="85"/>
      <c r="B552" s="85"/>
      <c r="C552" s="85"/>
      <c r="D552" s="85"/>
      <c r="E552" s="85"/>
      <c r="F552" s="85"/>
    </row>
    <row r="553">
      <c r="A553" s="85"/>
      <c r="B553" s="85"/>
      <c r="C553" s="85"/>
      <c r="D553" s="85"/>
      <c r="E553" s="85"/>
      <c r="F553" s="85"/>
    </row>
    <row r="554">
      <c r="A554" s="85"/>
      <c r="B554" s="85"/>
      <c r="C554" s="85"/>
      <c r="D554" s="85"/>
      <c r="E554" s="85"/>
      <c r="F554" s="85"/>
    </row>
    <row r="555">
      <c r="A555" s="85"/>
      <c r="B555" s="85"/>
      <c r="C555" s="85"/>
      <c r="D555" s="85"/>
      <c r="E555" s="85"/>
      <c r="F555" s="85"/>
    </row>
    <row r="556">
      <c r="A556" s="85"/>
      <c r="B556" s="85"/>
      <c r="C556" s="85"/>
      <c r="D556" s="85"/>
      <c r="E556" s="85"/>
      <c r="F556" s="85"/>
    </row>
    <row r="557">
      <c r="A557" s="85"/>
      <c r="B557" s="85"/>
      <c r="C557" s="85"/>
      <c r="D557" s="85"/>
      <c r="E557" s="85"/>
      <c r="F557" s="85"/>
    </row>
    <row r="558">
      <c r="A558" s="85"/>
      <c r="B558" s="85"/>
      <c r="C558" s="85"/>
      <c r="D558" s="85"/>
      <c r="E558" s="85"/>
      <c r="F558" s="85"/>
    </row>
    <row r="559">
      <c r="A559" s="85"/>
      <c r="B559" s="85"/>
      <c r="C559" s="85"/>
      <c r="D559" s="85"/>
      <c r="E559" s="85"/>
      <c r="F559" s="85"/>
    </row>
    <row r="560">
      <c r="A560" s="85"/>
      <c r="B560" s="85"/>
      <c r="C560" s="85"/>
      <c r="D560" s="85"/>
      <c r="E560" s="85"/>
      <c r="F560" s="85"/>
    </row>
    <row r="561">
      <c r="A561" s="85"/>
      <c r="B561" s="85"/>
      <c r="C561" s="85"/>
      <c r="D561" s="85"/>
      <c r="E561" s="85"/>
      <c r="F561" s="85"/>
    </row>
    <row r="562">
      <c r="A562" s="85"/>
      <c r="B562" s="85"/>
      <c r="C562" s="85"/>
      <c r="D562" s="85"/>
      <c r="E562" s="85"/>
      <c r="F562" s="85"/>
    </row>
    <row r="563">
      <c r="A563" s="85"/>
      <c r="B563" s="85"/>
      <c r="C563" s="85"/>
      <c r="D563" s="85"/>
      <c r="E563" s="85"/>
      <c r="F563" s="85"/>
    </row>
    <row r="564">
      <c r="A564" s="85"/>
      <c r="B564" s="85"/>
      <c r="C564" s="85"/>
      <c r="D564" s="85"/>
      <c r="E564" s="85"/>
      <c r="F564" s="85"/>
    </row>
    <row r="565">
      <c r="A565" s="85"/>
      <c r="B565" s="85"/>
      <c r="C565" s="85"/>
      <c r="D565" s="85"/>
      <c r="E565" s="85"/>
      <c r="F565" s="85"/>
    </row>
    <row r="566">
      <c r="A566" s="85"/>
      <c r="B566" s="85"/>
      <c r="C566" s="85"/>
      <c r="D566" s="85"/>
      <c r="E566" s="85"/>
      <c r="F566" s="85"/>
    </row>
    <row r="567">
      <c r="A567" s="85"/>
      <c r="B567" s="85"/>
      <c r="C567" s="85"/>
      <c r="D567" s="85"/>
      <c r="E567" s="85"/>
      <c r="F567" s="85"/>
    </row>
    <row r="568">
      <c r="A568" s="85"/>
      <c r="B568" s="85"/>
      <c r="C568" s="85"/>
      <c r="D568" s="85"/>
      <c r="E568" s="85"/>
      <c r="F568" s="85"/>
    </row>
    <row r="569">
      <c r="A569" s="85"/>
      <c r="B569" s="85"/>
      <c r="C569" s="85"/>
      <c r="D569" s="85"/>
      <c r="E569" s="85"/>
      <c r="F569" s="85"/>
    </row>
    <row r="570">
      <c r="A570" s="85"/>
      <c r="B570" s="85"/>
      <c r="C570" s="85"/>
      <c r="D570" s="85"/>
      <c r="E570" s="85"/>
      <c r="F570" s="85"/>
    </row>
    <row r="571">
      <c r="A571" s="85"/>
      <c r="B571" s="85"/>
      <c r="C571" s="85"/>
      <c r="D571" s="85"/>
      <c r="E571" s="85"/>
      <c r="F571" s="85"/>
    </row>
    <row r="572">
      <c r="A572" s="85"/>
      <c r="B572" s="85"/>
      <c r="C572" s="85"/>
      <c r="D572" s="85"/>
      <c r="E572" s="85"/>
      <c r="F572" s="85"/>
    </row>
    <row r="573">
      <c r="A573" s="85"/>
      <c r="B573" s="85"/>
      <c r="C573" s="85"/>
      <c r="D573" s="85"/>
      <c r="E573" s="85"/>
      <c r="F573" s="85"/>
    </row>
    <row r="574">
      <c r="A574" s="85"/>
      <c r="B574" s="85"/>
      <c r="C574" s="85"/>
      <c r="D574" s="85"/>
      <c r="E574" s="85"/>
      <c r="F574" s="85"/>
    </row>
    <row r="575">
      <c r="A575" s="85"/>
      <c r="B575" s="85"/>
      <c r="C575" s="85"/>
      <c r="D575" s="85"/>
      <c r="E575" s="85"/>
      <c r="F575" s="85"/>
    </row>
    <row r="576">
      <c r="A576" s="85"/>
      <c r="B576" s="85"/>
      <c r="C576" s="85"/>
      <c r="D576" s="85"/>
      <c r="E576" s="85"/>
      <c r="F576" s="85"/>
    </row>
    <row r="577">
      <c r="A577" s="85"/>
      <c r="B577" s="85"/>
      <c r="C577" s="85"/>
      <c r="D577" s="85"/>
      <c r="E577" s="85"/>
      <c r="F577" s="85"/>
    </row>
    <row r="578">
      <c r="A578" s="85"/>
      <c r="B578" s="85"/>
      <c r="C578" s="85"/>
      <c r="D578" s="85"/>
      <c r="E578" s="85"/>
      <c r="F578" s="85"/>
    </row>
    <row r="579">
      <c r="A579" s="85"/>
      <c r="B579" s="85"/>
      <c r="C579" s="85"/>
      <c r="D579" s="85"/>
      <c r="E579" s="85"/>
      <c r="F579" s="85"/>
    </row>
    <row r="580">
      <c r="A580" s="85"/>
      <c r="B580" s="85"/>
      <c r="C580" s="85"/>
      <c r="D580" s="85"/>
      <c r="E580" s="85"/>
      <c r="F580" s="85"/>
    </row>
    <row r="581">
      <c r="A581" s="85"/>
      <c r="B581" s="85"/>
      <c r="C581" s="85"/>
      <c r="D581" s="85"/>
      <c r="E581" s="85"/>
      <c r="F581" s="85"/>
    </row>
    <row r="582">
      <c r="A582" s="85"/>
      <c r="B582" s="85"/>
      <c r="C582" s="85"/>
      <c r="D582" s="85"/>
      <c r="E582" s="85"/>
      <c r="F582" s="85"/>
    </row>
    <row r="583">
      <c r="A583" s="85"/>
      <c r="B583" s="85"/>
      <c r="C583" s="85"/>
      <c r="D583" s="85"/>
      <c r="E583" s="85"/>
      <c r="F583" s="85"/>
    </row>
    <row r="584">
      <c r="A584" s="85"/>
      <c r="B584" s="85"/>
      <c r="C584" s="85"/>
      <c r="D584" s="85"/>
      <c r="E584" s="85"/>
      <c r="F584" s="85"/>
    </row>
    <row r="585">
      <c r="A585" s="85"/>
      <c r="B585" s="85"/>
      <c r="C585" s="85"/>
      <c r="D585" s="85"/>
      <c r="E585" s="85"/>
      <c r="F585" s="85"/>
    </row>
    <row r="586">
      <c r="A586" s="85"/>
      <c r="B586" s="85"/>
      <c r="C586" s="85"/>
      <c r="D586" s="85"/>
      <c r="E586" s="85"/>
      <c r="F586" s="85"/>
    </row>
    <row r="587">
      <c r="A587" s="85"/>
      <c r="B587" s="85"/>
      <c r="C587" s="85"/>
      <c r="D587" s="85"/>
      <c r="E587" s="85"/>
      <c r="F587" s="85"/>
    </row>
    <row r="588">
      <c r="A588" s="85"/>
      <c r="B588" s="85"/>
      <c r="C588" s="85"/>
      <c r="D588" s="85"/>
      <c r="E588" s="85"/>
      <c r="F588" s="85"/>
    </row>
    <row r="589">
      <c r="A589" s="85"/>
      <c r="B589" s="85"/>
      <c r="C589" s="85"/>
      <c r="D589" s="85"/>
      <c r="E589" s="85"/>
      <c r="F589" s="85"/>
    </row>
    <row r="590">
      <c r="A590" s="85"/>
      <c r="B590" s="85"/>
      <c r="C590" s="85"/>
      <c r="D590" s="85"/>
      <c r="E590" s="85"/>
      <c r="F590" s="85"/>
    </row>
    <row r="591">
      <c r="A591" s="85"/>
      <c r="B591" s="85"/>
      <c r="C591" s="85"/>
      <c r="D591" s="85"/>
      <c r="E591" s="85"/>
      <c r="F591" s="85"/>
    </row>
    <row r="592">
      <c r="A592" s="85"/>
      <c r="B592" s="85"/>
      <c r="C592" s="85"/>
      <c r="D592" s="85"/>
      <c r="E592" s="85"/>
      <c r="F592" s="85"/>
    </row>
    <row r="593">
      <c r="A593" s="85"/>
      <c r="B593" s="85"/>
      <c r="C593" s="85"/>
      <c r="D593" s="85"/>
      <c r="E593" s="85"/>
      <c r="F593" s="85"/>
    </row>
    <row r="594">
      <c r="A594" s="85"/>
      <c r="B594" s="85"/>
      <c r="C594" s="85"/>
      <c r="D594" s="85"/>
      <c r="E594" s="85"/>
      <c r="F594" s="85"/>
    </row>
    <row r="595">
      <c r="A595" s="85"/>
      <c r="B595" s="85"/>
      <c r="C595" s="85"/>
      <c r="D595" s="85"/>
      <c r="E595" s="85"/>
      <c r="F595" s="85"/>
    </row>
    <row r="596">
      <c r="A596" s="85"/>
      <c r="B596" s="85"/>
      <c r="C596" s="85"/>
      <c r="D596" s="85"/>
      <c r="E596" s="85"/>
      <c r="F596" s="85"/>
    </row>
    <row r="597">
      <c r="A597" s="85"/>
      <c r="B597" s="85"/>
      <c r="C597" s="85"/>
      <c r="D597" s="85"/>
      <c r="E597" s="85"/>
      <c r="F597" s="85"/>
    </row>
    <row r="598">
      <c r="A598" s="85"/>
      <c r="B598" s="85"/>
      <c r="C598" s="85"/>
      <c r="D598" s="85"/>
      <c r="E598" s="85"/>
      <c r="F598" s="85"/>
    </row>
    <row r="599">
      <c r="A599" s="85"/>
      <c r="B599" s="85"/>
      <c r="C599" s="85"/>
      <c r="D599" s="85"/>
      <c r="E599" s="85"/>
      <c r="F599" s="85"/>
    </row>
    <row r="600">
      <c r="A600" s="85"/>
      <c r="B600" s="85"/>
      <c r="C600" s="85"/>
      <c r="D600" s="85"/>
      <c r="E600" s="85"/>
      <c r="F600" s="85"/>
    </row>
    <row r="601">
      <c r="A601" s="85"/>
      <c r="B601" s="85"/>
      <c r="C601" s="85"/>
      <c r="D601" s="85"/>
      <c r="E601" s="85"/>
      <c r="F601" s="85"/>
    </row>
    <row r="602">
      <c r="A602" s="85"/>
      <c r="B602" s="85"/>
      <c r="C602" s="85"/>
      <c r="D602" s="85"/>
      <c r="E602" s="85"/>
      <c r="F602" s="85"/>
    </row>
    <row r="603">
      <c r="A603" s="85"/>
      <c r="B603" s="85"/>
      <c r="C603" s="85"/>
      <c r="D603" s="85"/>
      <c r="E603" s="85"/>
      <c r="F603" s="85"/>
    </row>
    <row r="604">
      <c r="A604" s="85"/>
      <c r="B604" s="85"/>
      <c r="C604" s="85"/>
      <c r="D604" s="85"/>
      <c r="E604" s="85"/>
      <c r="F604" s="85"/>
    </row>
    <row r="605">
      <c r="A605" s="85"/>
      <c r="B605" s="85"/>
      <c r="C605" s="85"/>
      <c r="D605" s="85"/>
      <c r="E605" s="85"/>
      <c r="F605" s="85"/>
    </row>
    <row r="606">
      <c r="A606" s="85"/>
      <c r="B606" s="85"/>
      <c r="C606" s="85"/>
      <c r="D606" s="85"/>
      <c r="E606" s="85"/>
      <c r="F606" s="85"/>
    </row>
    <row r="607">
      <c r="A607" s="85"/>
      <c r="B607" s="85"/>
      <c r="C607" s="85"/>
      <c r="D607" s="85"/>
      <c r="E607" s="85"/>
      <c r="F607" s="85"/>
    </row>
    <row r="608">
      <c r="A608" s="85"/>
      <c r="B608" s="85"/>
      <c r="C608" s="85"/>
      <c r="D608" s="85"/>
      <c r="E608" s="85"/>
      <c r="F608" s="85"/>
    </row>
    <row r="609">
      <c r="A609" s="85"/>
      <c r="B609" s="85"/>
      <c r="C609" s="85"/>
      <c r="D609" s="85"/>
      <c r="E609" s="85"/>
      <c r="F609" s="85"/>
    </row>
    <row r="610">
      <c r="A610" s="85"/>
      <c r="B610" s="85"/>
      <c r="C610" s="85"/>
      <c r="D610" s="85"/>
      <c r="E610" s="85"/>
      <c r="F610" s="85"/>
    </row>
    <row r="611">
      <c r="A611" s="85"/>
      <c r="B611" s="85"/>
      <c r="C611" s="85"/>
      <c r="D611" s="85"/>
      <c r="E611" s="85"/>
      <c r="F611" s="85"/>
    </row>
    <row r="612">
      <c r="A612" s="85"/>
      <c r="B612" s="85"/>
      <c r="C612" s="85"/>
      <c r="D612" s="85"/>
      <c r="E612" s="85"/>
      <c r="F612" s="85"/>
    </row>
    <row r="613">
      <c r="A613" s="85"/>
      <c r="B613" s="85"/>
      <c r="C613" s="85"/>
      <c r="D613" s="85"/>
      <c r="E613" s="85"/>
      <c r="F613" s="85"/>
    </row>
    <row r="614">
      <c r="A614" s="85"/>
      <c r="B614" s="85"/>
      <c r="C614" s="85"/>
      <c r="D614" s="85"/>
      <c r="E614" s="85"/>
      <c r="F614" s="85"/>
    </row>
    <row r="615">
      <c r="A615" s="85"/>
      <c r="B615" s="85"/>
      <c r="C615" s="85"/>
      <c r="D615" s="85"/>
      <c r="E615" s="85"/>
      <c r="F615" s="85"/>
    </row>
    <row r="616">
      <c r="A616" s="85"/>
      <c r="B616" s="85"/>
      <c r="C616" s="85"/>
      <c r="D616" s="85"/>
      <c r="E616" s="85"/>
      <c r="F616" s="85"/>
    </row>
    <row r="617">
      <c r="A617" s="85"/>
      <c r="B617" s="85"/>
      <c r="C617" s="85"/>
      <c r="D617" s="85"/>
      <c r="E617" s="85"/>
      <c r="F617" s="85"/>
    </row>
    <row r="618">
      <c r="A618" s="85"/>
      <c r="B618" s="85"/>
      <c r="C618" s="85"/>
      <c r="D618" s="85"/>
      <c r="E618" s="85"/>
      <c r="F618" s="85"/>
    </row>
    <row r="619">
      <c r="A619" s="85"/>
      <c r="B619" s="85"/>
      <c r="C619" s="85"/>
      <c r="D619" s="85"/>
      <c r="E619" s="85"/>
      <c r="F619" s="85"/>
    </row>
    <row r="620">
      <c r="A620" s="85"/>
      <c r="B620" s="85"/>
      <c r="C620" s="85"/>
      <c r="D620" s="85"/>
      <c r="E620" s="85"/>
      <c r="F620" s="85"/>
    </row>
    <row r="621">
      <c r="A621" s="85"/>
      <c r="B621" s="85"/>
      <c r="C621" s="85"/>
      <c r="D621" s="85"/>
      <c r="E621" s="85"/>
      <c r="F621" s="85"/>
    </row>
    <row r="622">
      <c r="A622" s="85"/>
      <c r="B622" s="85"/>
      <c r="C622" s="85"/>
      <c r="D622" s="85"/>
      <c r="E622" s="85"/>
      <c r="F622" s="85"/>
    </row>
    <row r="623">
      <c r="A623" s="85"/>
      <c r="B623" s="85"/>
      <c r="C623" s="85"/>
      <c r="D623" s="85"/>
      <c r="E623" s="85"/>
      <c r="F623" s="85"/>
    </row>
    <row r="624">
      <c r="A624" s="85"/>
      <c r="B624" s="85"/>
      <c r="C624" s="85"/>
      <c r="D624" s="85"/>
      <c r="E624" s="85"/>
      <c r="F624" s="85"/>
    </row>
    <row r="625">
      <c r="A625" s="85"/>
      <c r="B625" s="85"/>
      <c r="C625" s="85"/>
      <c r="D625" s="85"/>
      <c r="E625" s="85"/>
      <c r="F625" s="85"/>
    </row>
    <row r="626">
      <c r="A626" s="85"/>
      <c r="B626" s="85"/>
      <c r="C626" s="85"/>
      <c r="D626" s="85"/>
      <c r="E626" s="85"/>
      <c r="F626" s="85"/>
    </row>
    <row r="627">
      <c r="A627" s="85"/>
      <c r="B627" s="85"/>
      <c r="C627" s="85"/>
      <c r="D627" s="85"/>
      <c r="E627" s="85"/>
      <c r="F627" s="85"/>
    </row>
    <row r="628">
      <c r="A628" s="85"/>
      <c r="B628" s="85"/>
      <c r="C628" s="85"/>
      <c r="D628" s="85"/>
      <c r="E628" s="85"/>
      <c r="F628" s="85"/>
    </row>
    <row r="629">
      <c r="A629" s="85"/>
      <c r="B629" s="85"/>
      <c r="C629" s="85"/>
      <c r="D629" s="85"/>
      <c r="E629" s="85"/>
      <c r="F629" s="85"/>
    </row>
    <row r="630">
      <c r="A630" s="85"/>
      <c r="B630" s="85"/>
      <c r="C630" s="85"/>
      <c r="D630" s="85"/>
      <c r="E630" s="85"/>
      <c r="F630" s="85"/>
    </row>
    <row r="631">
      <c r="A631" s="85"/>
      <c r="B631" s="85"/>
      <c r="C631" s="85"/>
      <c r="D631" s="85"/>
      <c r="E631" s="85"/>
      <c r="F631" s="85"/>
    </row>
    <row r="632">
      <c r="A632" s="85"/>
      <c r="B632" s="85"/>
      <c r="C632" s="85"/>
      <c r="D632" s="85"/>
      <c r="E632" s="85"/>
      <c r="F632" s="85"/>
    </row>
    <row r="633">
      <c r="A633" s="85"/>
      <c r="B633" s="85"/>
      <c r="C633" s="85"/>
      <c r="D633" s="85"/>
      <c r="E633" s="85"/>
      <c r="F633" s="85"/>
    </row>
    <row r="634">
      <c r="A634" s="85"/>
      <c r="B634" s="85"/>
      <c r="C634" s="85"/>
      <c r="D634" s="85"/>
      <c r="E634" s="85"/>
      <c r="F634" s="85"/>
    </row>
    <row r="635">
      <c r="A635" s="85"/>
      <c r="B635" s="85"/>
      <c r="C635" s="85"/>
      <c r="D635" s="85"/>
      <c r="E635" s="85"/>
      <c r="F635" s="85"/>
    </row>
    <row r="636">
      <c r="A636" s="85"/>
      <c r="B636" s="85"/>
      <c r="C636" s="85"/>
      <c r="D636" s="85"/>
      <c r="E636" s="85"/>
      <c r="F636" s="85"/>
    </row>
    <row r="637">
      <c r="A637" s="85"/>
      <c r="B637" s="85"/>
      <c r="C637" s="85"/>
      <c r="D637" s="85"/>
      <c r="E637" s="85"/>
      <c r="F637" s="85"/>
    </row>
    <row r="638">
      <c r="A638" s="85"/>
      <c r="B638" s="85"/>
      <c r="C638" s="85"/>
      <c r="D638" s="85"/>
      <c r="E638" s="85"/>
      <c r="F638" s="85"/>
    </row>
    <row r="639">
      <c r="A639" s="85"/>
      <c r="B639" s="85"/>
      <c r="C639" s="85"/>
      <c r="D639" s="85"/>
      <c r="E639" s="85"/>
      <c r="F639" s="85"/>
    </row>
    <row r="640">
      <c r="A640" s="85"/>
      <c r="B640" s="85"/>
      <c r="C640" s="85"/>
      <c r="D640" s="85"/>
      <c r="E640" s="85"/>
      <c r="F640" s="85"/>
    </row>
    <row r="641">
      <c r="A641" s="85"/>
      <c r="B641" s="85"/>
      <c r="C641" s="85"/>
      <c r="D641" s="85"/>
      <c r="E641" s="85"/>
      <c r="F641" s="85"/>
    </row>
    <row r="642">
      <c r="A642" s="85"/>
      <c r="B642" s="85"/>
      <c r="C642" s="85"/>
      <c r="D642" s="85"/>
      <c r="E642" s="85"/>
      <c r="F642" s="85"/>
    </row>
    <row r="643">
      <c r="A643" s="85"/>
      <c r="B643" s="85"/>
      <c r="C643" s="85"/>
      <c r="D643" s="85"/>
      <c r="E643" s="85"/>
      <c r="F643" s="85"/>
    </row>
    <row r="644">
      <c r="A644" s="85"/>
      <c r="B644" s="85"/>
      <c r="C644" s="85"/>
      <c r="D644" s="85"/>
      <c r="E644" s="85"/>
      <c r="F644" s="85"/>
    </row>
    <row r="645">
      <c r="A645" s="85"/>
      <c r="B645" s="85"/>
      <c r="C645" s="85"/>
      <c r="D645" s="85"/>
      <c r="E645" s="85"/>
      <c r="F645" s="85"/>
    </row>
    <row r="646">
      <c r="A646" s="85"/>
      <c r="B646" s="85"/>
      <c r="C646" s="85"/>
      <c r="D646" s="85"/>
      <c r="E646" s="85"/>
      <c r="F646" s="85"/>
    </row>
    <row r="647">
      <c r="A647" s="85"/>
      <c r="B647" s="85"/>
      <c r="C647" s="85"/>
      <c r="D647" s="85"/>
      <c r="E647" s="85"/>
      <c r="F647" s="85"/>
    </row>
    <row r="648">
      <c r="A648" s="85"/>
      <c r="B648" s="85"/>
      <c r="C648" s="85"/>
      <c r="D648" s="85"/>
      <c r="E648" s="85"/>
      <c r="F648" s="85"/>
    </row>
    <row r="649">
      <c r="A649" s="85"/>
      <c r="B649" s="85"/>
      <c r="C649" s="85"/>
      <c r="D649" s="85"/>
      <c r="E649" s="85"/>
      <c r="F649" s="85"/>
    </row>
    <row r="650">
      <c r="A650" s="85"/>
      <c r="B650" s="85"/>
      <c r="C650" s="85"/>
      <c r="D650" s="85"/>
      <c r="E650" s="85"/>
      <c r="F650" s="85"/>
    </row>
    <row r="651">
      <c r="A651" s="85"/>
      <c r="B651" s="85"/>
      <c r="C651" s="85"/>
      <c r="D651" s="85"/>
      <c r="E651" s="85"/>
      <c r="F651" s="85"/>
    </row>
    <row r="652">
      <c r="A652" s="85"/>
      <c r="B652" s="85"/>
      <c r="C652" s="85"/>
      <c r="D652" s="85"/>
      <c r="E652" s="85"/>
      <c r="F652" s="85"/>
    </row>
    <row r="653">
      <c r="A653" s="85"/>
      <c r="B653" s="85"/>
      <c r="C653" s="85"/>
      <c r="D653" s="85"/>
      <c r="E653" s="85"/>
      <c r="F653" s="85"/>
    </row>
    <row r="654">
      <c r="A654" s="85"/>
      <c r="B654" s="85"/>
      <c r="C654" s="85"/>
      <c r="D654" s="85"/>
      <c r="E654" s="85"/>
      <c r="F654" s="85"/>
    </row>
    <row r="655">
      <c r="A655" s="85"/>
      <c r="B655" s="85"/>
      <c r="C655" s="85"/>
      <c r="D655" s="85"/>
      <c r="E655" s="85"/>
      <c r="F655" s="85"/>
    </row>
    <row r="656">
      <c r="A656" s="85"/>
      <c r="B656" s="85"/>
      <c r="C656" s="85"/>
      <c r="D656" s="85"/>
      <c r="E656" s="85"/>
      <c r="F656" s="85"/>
    </row>
    <row r="657">
      <c r="A657" s="85"/>
      <c r="B657" s="85"/>
      <c r="C657" s="85"/>
      <c r="D657" s="85"/>
      <c r="E657" s="85"/>
      <c r="F657" s="85"/>
    </row>
    <row r="658">
      <c r="A658" s="85"/>
      <c r="B658" s="85"/>
      <c r="C658" s="85"/>
      <c r="D658" s="85"/>
      <c r="E658" s="85"/>
      <c r="F658" s="85"/>
    </row>
    <row r="659">
      <c r="A659" s="85"/>
      <c r="B659" s="85"/>
      <c r="C659" s="85"/>
      <c r="D659" s="85"/>
      <c r="E659" s="85"/>
      <c r="F659" s="85"/>
    </row>
    <row r="660">
      <c r="A660" s="85"/>
      <c r="B660" s="85"/>
      <c r="C660" s="85"/>
      <c r="D660" s="85"/>
      <c r="E660" s="85"/>
      <c r="F660" s="85"/>
    </row>
    <row r="661">
      <c r="A661" s="85"/>
      <c r="B661" s="85"/>
      <c r="C661" s="85"/>
      <c r="D661" s="85"/>
      <c r="E661" s="85"/>
      <c r="F661" s="85"/>
    </row>
    <row r="662">
      <c r="A662" s="85"/>
      <c r="B662" s="85"/>
      <c r="C662" s="85"/>
      <c r="D662" s="85"/>
      <c r="E662" s="85"/>
      <c r="F662" s="85"/>
    </row>
    <row r="663">
      <c r="A663" s="85"/>
      <c r="B663" s="85"/>
      <c r="C663" s="85"/>
      <c r="D663" s="85"/>
      <c r="E663" s="85"/>
      <c r="F663" s="85"/>
    </row>
    <row r="664">
      <c r="A664" s="85"/>
      <c r="B664" s="85"/>
      <c r="C664" s="85"/>
      <c r="D664" s="85"/>
      <c r="E664" s="85"/>
      <c r="F664" s="85"/>
    </row>
    <row r="665">
      <c r="A665" s="85"/>
      <c r="B665" s="85"/>
      <c r="C665" s="85"/>
      <c r="D665" s="85"/>
      <c r="E665" s="85"/>
      <c r="F665" s="85"/>
    </row>
    <row r="666">
      <c r="A666" s="85"/>
      <c r="B666" s="85"/>
      <c r="C666" s="85"/>
      <c r="D666" s="85"/>
      <c r="E666" s="85"/>
      <c r="F666" s="85"/>
    </row>
    <row r="667">
      <c r="A667" s="85"/>
      <c r="B667" s="85"/>
      <c r="C667" s="85"/>
      <c r="D667" s="85"/>
      <c r="E667" s="85"/>
      <c r="F667" s="85"/>
    </row>
    <row r="668">
      <c r="A668" s="85"/>
      <c r="B668" s="85"/>
      <c r="C668" s="85"/>
      <c r="D668" s="85"/>
      <c r="E668" s="85"/>
      <c r="F668" s="85"/>
    </row>
    <row r="669">
      <c r="A669" s="85"/>
      <c r="B669" s="85"/>
      <c r="C669" s="85"/>
      <c r="D669" s="85"/>
      <c r="E669" s="85"/>
      <c r="F669" s="85"/>
    </row>
    <row r="670">
      <c r="A670" s="85"/>
      <c r="B670" s="85"/>
      <c r="C670" s="85"/>
      <c r="D670" s="85"/>
      <c r="E670" s="85"/>
      <c r="F670" s="85"/>
    </row>
    <row r="671">
      <c r="A671" s="85"/>
      <c r="B671" s="85"/>
      <c r="C671" s="85"/>
      <c r="D671" s="85"/>
      <c r="E671" s="85"/>
      <c r="F671" s="85"/>
    </row>
    <row r="672">
      <c r="A672" s="85"/>
      <c r="B672" s="85"/>
      <c r="C672" s="85"/>
      <c r="D672" s="85"/>
      <c r="E672" s="85"/>
      <c r="F672" s="85"/>
    </row>
    <row r="673">
      <c r="A673" s="85"/>
      <c r="B673" s="85"/>
      <c r="C673" s="85"/>
      <c r="D673" s="85"/>
      <c r="E673" s="85"/>
      <c r="F673" s="85"/>
    </row>
    <row r="674">
      <c r="A674" s="85"/>
      <c r="B674" s="85"/>
      <c r="C674" s="85"/>
      <c r="D674" s="85"/>
      <c r="E674" s="85"/>
      <c r="F674" s="85"/>
    </row>
    <row r="675">
      <c r="A675" s="85"/>
      <c r="B675" s="85"/>
      <c r="C675" s="85"/>
      <c r="D675" s="85"/>
      <c r="E675" s="85"/>
      <c r="F675" s="85"/>
    </row>
    <row r="676">
      <c r="A676" s="85"/>
      <c r="B676" s="85"/>
      <c r="C676" s="85"/>
      <c r="D676" s="85"/>
      <c r="E676" s="85"/>
      <c r="F676" s="85"/>
    </row>
    <row r="677">
      <c r="A677" s="85"/>
      <c r="B677" s="85"/>
      <c r="C677" s="85"/>
      <c r="D677" s="85"/>
      <c r="E677" s="85"/>
      <c r="F677" s="85"/>
    </row>
    <row r="678">
      <c r="A678" s="85"/>
      <c r="B678" s="85"/>
      <c r="C678" s="85"/>
      <c r="D678" s="85"/>
      <c r="E678" s="85"/>
      <c r="F678" s="85"/>
    </row>
    <row r="679">
      <c r="A679" s="85"/>
      <c r="B679" s="85"/>
      <c r="C679" s="85"/>
      <c r="D679" s="85"/>
      <c r="E679" s="85"/>
      <c r="F679" s="85"/>
    </row>
    <row r="680">
      <c r="A680" s="85"/>
      <c r="B680" s="85"/>
      <c r="C680" s="85"/>
      <c r="D680" s="85"/>
      <c r="E680" s="85"/>
      <c r="F680" s="85"/>
    </row>
    <row r="681">
      <c r="A681" s="85"/>
      <c r="B681" s="85"/>
      <c r="C681" s="85"/>
      <c r="D681" s="85"/>
      <c r="E681" s="85"/>
      <c r="F681" s="85"/>
    </row>
    <row r="682">
      <c r="A682" s="85"/>
      <c r="B682" s="85"/>
      <c r="C682" s="85"/>
      <c r="D682" s="85"/>
      <c r="E682" s="85"/>
      <c r="F682" s="85"/>
    </row>
    <row r="683">
      <c r="A683" s="85"/>
      <c r="B683" s="85"/>
      <c r="C683" s="85"/>
      <c r="D683" s="85"/>
      <c r="E683" s="85"/>
      <c r="F683" s="85"/>
    </row>
    <row r="684">
      <c r="A684" s="85"/>
      <c r="B684" s="85"/>
      <c r="C684" s="85"/>
      <c r="D684" s="85"/>
      <c r="E684" s="85"/>
      <c r="F684" s="85"/>
    </row>
    <row r="685">
      <c r="A685" s="85"/>
      <c r="B685" s="85"/>
      <c r="C685" s="85"/>
      <c r="D685" s="85"/>
      <c r="E685" s="85"/>
      <c r="F685" s="85"/>
    </row>
    <row r="686">
      <c r="A686" s="85"/>
      <c r="B686" s="85"/>
      <c r="C686" s="85"/>
      <c r="D686" s="85"/>
      <c r="E686" s="85"/>
      <c r="F686" s="85"/>
    </row>
    <row r="687">
      <c r="A687" s="85"/>
      <c r="B687" s="85"/>
      <c r="C687" s="85"/>
      <c r="D687" s="85"/>
      <c r="E687" s="85"/>
      <c r="F687" s="85"/>
    </row>
    <row r="688">
      <c r="A688" s="85"/>
      <c r="B688" s="85"/>
      <c r="C688" s="85"/>
      <c r="D688" s="85"/>
      <c r="E688" s="85"/>
      <c r="F688" s="85"/>
    </row>
    <row r="689">
      <c r="A689" s="85"/>
      <c r="B689" s="85"/>
      <c r="C689" s="85"/>
      <c r="D689" s="85"/>
      <c r="E689" s="85"/>
      <c r="F689" s="85"/>
    </row>
    <row r="690">
      <c r="A690" s="85"/>
      <c r="B690" s="85"/>
      <c r="C690" s="85"/>
      <c r="D690" s="85"/>
      <c r="E690" s="85"/>
      <c r="F690" s="85"/>
    </row>
    <row r="691">
      <c r="A691" s="85"/>
      <c r="B691" s="85"/>
      <c r="C691" s="85"/>
      <c r="D691" s="85"/>
      <c r="E691" s="85"/>
      <c r="F691" s="85"/>
    </row>
    <row r="692">
      <c r="A692" s="85"/>
      <c r="B692" s="85"/>
      <c r="C692" s="85"/>
      <c r="D692" s="85"/>
      <c r="E692" s="85"/>
      <c r="F692" s="85"/>
    </row>
    <row r="693">
      <c r="A693" s="85"/>
      <c r="B693" s="85"/>
      <c r="C693" s="85"/>
      <c r="D693" s="85"/>
      <c r="E693" s="85"/>
      <c r="F693" s="85"/>
    </row>
    <row r="694">
      <c r="A694" s="85"/>
      <c r="B694" s="85"/>
      <c r="C694" s="85"/>
      <c r="D694" s="85"/>
      <c r="E694" s="85"/>
      <c r="F694" s="85"/>
    </row>
    <row r="695">
      <c r="A695" s="85"/>
      <c r="B695" s="85"/>
      <c r="C695" s="85"/>
      <c r="D695" s="85"/>
      <c r="E695" s="85"/>
      <c r="F695" s="85"/>
    </row>
    <row r="696">
      <c r="A696" s="85"/>
      <c r="B696" s="85"/>
      <c r="C696" s="85"/>
      <c r="D696" s="85"/>
      <c r="E696" s="85"/>
      <c r="F696" s="85"/>
    </row>
    <row r="697">
      <c r="A697" s="85"/>
      <c r="B697" s="85"/>
      <c r="C697" s="85"/>
      <c r="D697" s="85"/>
      <c r="E697" s="85"/>
      <c r="F697" s="85"/>
    </row>
    <row r="698">
      <c r="A698" s="85"/>
      <c r="B698" s="85"/>
      <c r="C698" s="85"/>
      <c r="D698" s="85"/>
      <c r="E698" s="85"/>
      <c r="F698" s="85"/>
    </row>
    <row r="699">
      <c r="A699" s="85"/>
      <c r="B699" s="85"/>
      <c r="C699" s="85"/>
      <c r="D699" s="85"/>
      <c r="E699" s="85"/>
      <c r="F699" s="85"/>
    </row>
    <row r="700">
      <c r="A700" s="85"/>
      <c r="B700" s="85"/>
      <c r="C700" s="85"/>
      <c r="D700" s="85"/>
      <c r="E700" s="85"/>
      <c r="F700" s="85"/>
    </row>
    <row r="701">
      <c r="A701" s="85"/>
      <c r="B701" s="85"/>
      <c r="C701" s="85"/>
      <c r="D701" s="85"/>
      <c r="E701" s="85"/>
      <c r="F701" s="85"/>
    </row>
    <row r="702">
      <c r="A702" s="85"/>
      <c r="B702" s="85"/>
      <c r="C702" s="85"/>
      <c r="D702" s="85"/>
      <c r="E702" s="85"/>
      <c r="F702" s="85"/>
    </row>
    <row r="703">
      <c r="A703" s="85"/>
      <c r="B703" s="85"/>
      <c r="C703" s="85"/>
      <c r="D703" s="85"/>
      <c r="E703" s="85"/>
      <c r="F703" s="85"/>
    </row>
    <row r="704">
      <c r="A704" s="85"/>
      <c r="B704" s="85"/>
      <c r="C704" s="85"/>
      <c r="D704" s="85"/>
      <c r="E704" s="85"/>
      <c r="F704" s="85"/>
    </row>
    <row r="705">
      <c r="A705" s="85"/>
      <c r="B705" s="85"/>
      <c r="C705" s="85"/>
      <c r="D705" s="85"/>
      <c r="E705" s="85"/>
      <c r="F705" s="85"/>
    </row>
    <row r="706">
      <c r="A706" s="85"/>
      <c r="B706" s="85"/>
      <c r="C706" s="85"/>
      <c r="D706" s="85"/>
      <c r="E706" s="85"/>
      <c r="F706" s="85"/>
    </row>
    <row r="707">
      <c r="A707" s="85"/>
      <c r="B707" s="85"/>
      <c r="C707" s="85"/>
      <c r="D707" s="85"/>
      <c r="E707" s="85"/>
      <c r="F707" s="85"/>
    </row>
    <row r="708">
      <c r="A708" s="85"/>
      <c r="B708" s="85"/>
      <c r="C708" s="85"/>
      <c r="D708" s="85"/>
      <c r="E708" s="85"/>
      <c r="F708" s="85"/>
    </row>
    <row r="709">
      <c r="A709" s="85"/>
      <c r="B709" s="85"/>
      <c r="C709" s="85"/>
      <c r="D709" s="85"/>
      <c r="E709" s="85"/>
      <c r="F709" s="85"/>
    </row>
    <row r="710">
      <c r="A710" s="85"/>
      <c r="B710" s="85"/>
      <c r="C710" s="85"/>
      <c r="D710" s="85"/>
      <c r="E710" s="85"/>
      <c r="F710" s="85"/>
    </row>
    <row r="711">
      <c r="A711" s="85"/>
      <c r="B711" s="85"/>
      <c r="C711" s="85"/>
      <c r="D711" s="85"/>
      <c r="E711" s="85"/>
      <c r="F711" s="85"/>
    </row>
    <row r="712">
      <c r="A712" s="85"/>
      <c r="B712" s="85"/>
      <c r="C712" s="85"/>
      <c r="D712" s="85"/>
      <c r="E712" s="85"/>
      <c r="F712" s="85"/>
    </row>
    <row r="713">
      <c r="A713" s="85"/>
      <c r="B713" s="85"/>
      <c r="C713" s="85"/>
      <c r="D713" s="85"/>
      <c r="E713" s="85"/>
      <c r="F713" s="85"/>
    </row>
    <row r="714">
      <c r="A714" s="85"/>
      <c r="B714" s="85"/>
      <c r="C714" s="85"/>
      <c r="D714" s="85"/>
      <c r="E714" s="85"/>
      <c r="F714" s="85"/>
    </row>
    <row r="715">
      <c r="A715" s="85"/>
      <c r="B715" s="85"/>
      <c r="C715" s="85"/>
      <c r="D715" s="85"/>
      <c r="E715" s="85"/>
      <c r="F715" s="85"/>
    </row>
    <row r="716">
      <c r="A716" s="85"/>
      <c r="B716" s="85"/>
      <c r="C716" s="85"/>
      <c r="D716" s="85"/>
      <c r="E716" s="85"/>
      <c r="F716" s="85"/>
    </row>
    <row r="717">
      <c r="A717" s="85"/>
      <c r="B717" s="85"/>
      <c r="C717" s="85"/>
      <c r="D717" s="85"/>
      <c r="E717" s="85"/>
      <c r="F717" s="85"/>
    </row>
    <row r="718">
      <c r="A718" s="85"/>
      <c r="B718" s="85"/>
      <c r="C718" s="85"/>
      <c r="D718" s="85"/>
      <c r="E718" s="85"/>
      <c r="F718" s="85"/>
    </row>
    <row r="719">
      <c r="A719" s="85"/>
      <c r="B719" s="85"/>
      <c r="C719" s="85"/>
      <c r="D719" s="85"/>
      <c r="E719" s="85"/>
      <c r="F719" s="85"/>
    </row>
    <row r="720">
      <c r="A720" s="85"/>
      <c r="B720" s="85"/>
      <c r="C720" s="85"/>
      <c r="D720" s="85"/>
      <c r="E720" s="85"/>
      <c r="F720" s="85"/>
    </row>
    <row r="721">
      <c r="A721" s="85"/>
      <c r="B721" s="85"/>
      <c r="C721" s="85"/>
      <c r="D721" s="85"/>
      <c r="E721" s="85"/>
      <c r="F721" s="85"/>
    </row>
    <row r="722">
      <c r="A722" s="85"/>
      <c r="B722" s="85"/>
      <c r="C722" s="85"/>
      <c r="D722" s="85"/>
      <c r="E722" s="85"/>
      <c r="F722" s="85"/>
    </row>
    <row r="723">
      <c r="A723" s="85"/>
      <c r="B723" s="85"/>
      <c r="C723" s="85"/>
      <c r="D723" s="85"/>
      <c r="E723" s="85"/>
      <c r="F723" s="85"/>
    </row>
    <row r="724">
      <c r="A724" s="85"/>
      <c r="B724" s="85"/>
      <c r="C724" s="85"/>
      <c r="D724" s="85"/>
      <c r="E724" s="85"/>
      <c r="F724" s="85"/>
    </row>
    <row r="725">
      <c r="A725" s="85"/>
      <c r="B725" s="85"/>
      <c r="C725" s="85"/>
      <c r="D725" s="85"/>
      <c r="E725" s="85"/>
      <c r="F725" s="85"/>
    </row>
    <row r="726">
      <c r="A726" s="85"/>
      <c r="B726" s="85"/>
      <c r="C726" s="85"/>
      <c r="D726" s="85"/>
      <c r="E726" s="85"/>
      <c r="F726" s="85"/>
    </row>
    <row r="727">
      <c r="A727" s="85"/>
      <c r="B727" s="85"/>
      <c r="C727" s="85"/>
      <c r="D727" s="85"/>
      <c r="E727" s="85"/>
      <c r="F727" s="85"/>
    </row>
    <row r="728">
      <c r="A728" s="85"/>
      <c r="B728" s="85"/>
      <c r="C728" s="85"/>
      <c r="D728" s="85"/>
      <c r="E728" s="85"/>
      <c r="F728" s="85"/>
    </row>
    <row r="729">
      <c r="A729" s="85"/>
      <c r="B729" s="85"/>
      <c r="C729" s="85"/>
      <c r="D729" s="85"/>
      <c r="E729" s="85"/>
      <c r="F729" s="85"/>
    </row>
    <row r="730">
      <c r="A730" s="85"/>
      <c r="B730" s="85"/>
      <c r="C730" s="85"/>
      <c r="D730" s="85"/>
      <c r="E730" s="85"/>
      <c r="F730" s="85"/>
    </row>
    <row r="731">
      <c r="A731" s="85"/>
      <c r="B731" s="85"/>
      <c r="C731" s="85"/>
      <c r="D731" s="85"/>
      <c r="E731" s="85"/>
      <c r="F731" s="85"/>
    </row>
    <row r="732">
      <c r="A732" s="85"/>
      <c r="B732" s="85"/>
      <c r="C732" s="85"/>
      <c r="D732" s="85"/>
      <c r="E732" s="85"/>
      <c r="F732" s="85"/>
    </row>
    <row r="733">
      <c r="A733" s="85"/>
      <c r="B733" s="85"/>
      <c r="C733" s="85"/>
      <c r="D733" s="85"/>
      <c r="E733" s="85"/>
      <c r="F733" s="85"/>
    </row>
    <row r="734">
      <c r="A734" s="85"/>
      <c r="B734" s="85"/>
      <c r="C734" s="85"/>
      <c r="D734" s="85"/>
      <c r="E734" s="85"/>
      <c r="F734" s="85"/>
    </row>
    <row r="735">
      <c r="A735" s="85"/>
      <c r="B735" s="85"/>
      <c r="C735" s="85"/>
      <c r="D735" s="85"/>
      <c r="E735" s="85"/>
      <c r="F735" s="85"/>
    </row>
    <row r="736">
      <c r="A736" s="85"/>
      <c r="B736" s="85"/>
      <c r="C736" s="85"/>
      <c r="D736" s="85"/>
      <c r="E736" s="85"/>
      <c r="F736" s="85"/>
    </row>
    <row r="737">
      <c r="A737" s="85"/>
      <c r="B737" s="85"/>
      <c r="C737" s="85"/>
      <c r="D737" s="85"/>
      <c r="E737" s="85"/>
      <c r="F737" s="85"/>
    </row>
    <row r="738">
      <c r="A738" s="85"/>
      <c r="B738" s="85"/>
      <c r="C738" s="85"/>
      <c r="D738" s="85"/>
      <c r="E738" s="85"/>
      <c r="F738" s="85"/>
    </row>
    <row r="739">
      <c r="A739" s="85"/>
      <c r="B739" s="85"/>
      <c r="C739" s="85"/>
      <c r="D739" s="85"/>
      <c r="E739" s="85"/>
      <c r="F739" s="85"/>
    </row>
    <row r="740">
      <c r="A740" s="85"/>
      <c r="B740" s="85"/>
      <c r="C740" s="85"/>
      <c r="D740" s="85"/>
      <c r="E740" s="85"/>
      <c r="F740" s="85"/>
    </row>
    <row r="741">
      <c r="A741" s="85"/>
      <c r="B741" s="85"/>
      <c r="C741" s="85"/>
      <c r="D741" s="85"/>
      <c r="E741" s="85"/>
      <c r="F741" s="85"/>
    </row>
    <row r="742">
      <c r="A742" s="85"/>
      <c r="B742" s="85"/>
      <c r="C742" s="85"/>
      <c r="D742" s="85"/>
      <c r="E742" s="85"/>
      <c r="F742" s="85"/>
    </row>
    <row r="743">
      <c r="A743" s="85"/>
      <c r="B743" s="85"/>
      <c r="C743" s="85"/>
      <c r="D743" s="85"/>
      <c r="E743" s="85"/>
      <c r="F743" s="85"/>
    </row>
    <row r="744">
      <c r="A744" s="85"/>
      <c r="B744" s="85"/>
      <c r="C744" s="85"/>
      <c r="D744" s="85"/>
      <c r="E744" s="85"/>
      <c r="F744" s="85"/>
    </row>
    <row r="745">
      <c r="A745" s="85"/>
      <c r="B745" s="85"/>
      <c r="C745" s="85"/>
      <c r="D745" s="85"/>
      <c r="E745" s="85"/>
      <c r="F745" s="85"/>
    </row>
    <row r="746">
      <c r="A746" s="85"/>
      <c r="B746" s="85"/>
      <c r="C746" s="85"/>
      <c r="D746" s="85"/>
      <c r="E746" s="85"/>
      <c r="F746" s="85"/>
    </row>
    <row r="747">
      <c r="A747" s="85"/>
      <c r="B747" s="85"/>
      <c r="C747" s="85"/>
      <c r="D747" s="85"/>
      <c r="E747" s="85"/>
      <c r="F747" s="85"/>
    </row>
    <row r="748">
      <c r="A748" s="85"/>
      <c r="B748" s="85"/>
      <c r="C748" s="85"/>
      <c r="D748" s="85"/>
      <c r="E748" s="85"/>
      <c r="F748" s="85"/>
    </row>
    <row r="749">
      <c r="A749" s="85"/>
      <c r="B749" s="85"/>
      <c r="C749" s="85"/>
      <c r="D749" s="85"/>
      <c r="E749" s="85"/>
      <c r="F749" s="85"/>
    </row>
    <row r="750">
      <c r="A750" s="85"/>
      <c r="B750" s="85"/>
      <c r="C750" s="85"/>
      <c r="D750" s="85"/>
      <c r="E750" s="85"/>
      <c r="F750" s="85"/>
    </row>
    <row r="751">
      <c r="A751" s="85"/>
      <c r="B751" s="85"/>
      <c r="C751" s="85"/>
      <c r="D751" s="85"/>
      <c r="E751" s="85"/>
      <c r="F751" s="85"/>
    </row>
    <row r="752">
      <c r="A752" s="85"/>
      <c r="B752" s="85"/>
      <c r="C752" s="85"/>
      <c r="D752" s="85"/>
      <c r="E752" s="85"/>
      <c r="F752" s="85"/>
    </row>
    <row r="753">
      <c r="A753" s="85"/>
      <c r="B753" s="85"/>
      <c r="C753" s="85"/>
      <c r="D753" s="85"/>
      <c r="E753" s="85"/>
      <c r="F753" s="85"/>
    </row>
    <row r="754">
      <c r="A754" s="85"/>
      <c r="B754" s="85"/>
      <c r="C754" s="85"/>
      <c r="D754" s="85"/>
      <c r="E754" s="85"/>
      <c r="F754" s="85"/>
    </row>
    <row r="755">
      <c r="A755" s="85"/>
      <c r="B755" s="85"/>
      <c r="C755" s="85"/>
      <c r="D755" s="85"/>
      <c r="E755" s="85"/>
      <c r="F755" s="85"/>
    </row>
    <row r="756">
      <c r="A756" s="85"/>
      <c r="B756" s="85"/>
      <c r="C756" s="85"/>
      <c r="D756" s="85"/>
      <c r="E756" s="85"/>
      <c r="F756" s="85"/>
    </row>
    <row r="757">
      <c r="A757" s="85"/>
      <c r="B757" s="85"/>
      <c r="C757" s="85"/>
      <c r="D757" s="85"/>
      <c r="E757" s="85"/>
      <c r="F757" s="85"/>
    </row>
    <row r="758">
      <c r="A758" s="85"/>
      <c r="B758" s="85"/>
      <c r="C758" s="85"/>
      <c r="D758" s="85"/>
      <c r="E758" s="85"/>
      <c r="F758" s="85"/>
    </row>
    <row r="759">
      <c r="A759" s="85"/>
      <c r="B759" s="85"/>
      <c r="C759" s="85"/>
      <c r="D759" s="85"/>
      <c r="E759" s="85"/>
      <c r="F759" s="85"/>
    </row>
    <row r="760">
      <c r="A760" s="85"/>
      <c r="B760" s="85"/>
      <c r="C760" s="85"/>
      <c r="D760" s="85"/>
      <c r="E760" s="85"/>
      <c r="F760" s="85"/>
    </row>
    <row r="761">
      <c r="A761" s="85"/>
      <c r="B761" s="85"/>
      <c r="C761" s="85"/>
      <c r="D761" s="85"/>
      <c r="E761" s="85"/>
      <c r="F761" s="85"/>
    </row>
    <row r="762">
      <c r="A762" s="85"/>
      <c r="B762" s="85"/>
      <c r="C762" s="85"/>
      <c r="D762" s="85"/>
      <c r="E762" s="85"/>
      <c r="F762" s="85"/>
    </row>
    <row r="763">
      <c r="A763" s="85"/>
      <c r="B763" s="85"/>
      <c r="C763" s="85"/>
      <c r="D763" s="85"/>
      <c r="E763" s="85"/>
      <c r="F763" s="85"/>
    </row>
    <row r="764">
      <c r="A764" s="85"/>
      <c r="B764" s="85"/>
      <c r="C764" s="85"/>
      <c r="D764" s="85"/>
      <c r="E764" s="85"/>
      <c r="F764" s="85"/>
    </row>
    <row r="765">
      <c r="A765" s="85"/>
      <c r="B765" s="85"/>
      <c r="C765" s="85"/>
      <c r="D765" s="85"/>
      <c r="E765" s="85"/>
      <c r="F765" s="85"/>
    </row>
    <row r="766">
      <c r="A766" s="85"/>
      <c r="B766" s="85"/>
      <c r="C766" s="85"/>
      <c r="D766" s="85"/>
      <c r="E766" s="85"/>
      <c r="F766" s="85"/>
    </row>
    <row r="767">
      <c r="A767" s="85"/>
      <c r="B767" s="85"/>
      <c r="C767" s="85"/>
      <c r="D767" s="85"/>
      <c r="E767" s="85"/>
      <c r="F767" s="85"/>
    </row>
    <row r="768">
      <c r="A768" s="85"/>
      <c r="B768" s="85"/>
      <c r="C768" s="85"/>
      <c r="D768" s="85"/>
      <c r="E768" s="85"/>
      <c r="F768" s="85"/>
    </row>
    <row r="769">
      <c r="A769" s="85"/>
      <c r="B769" s="85"/>
      <c r="C769" s="85"/>
      <c r="D769" s="85"/>
      <c r="E769" s="85"/>
      <c r="F769" s="85"/>
    </row>
    <row r="770">
      <c r="A770" s="85"/>
      <c r="B770" s="85"/>
      <c r="C770" s="85"/>
      <c r="D770" s="85"/>
      <c r="E770" s="85"/>
      <c r="F770" s="85"/>
    </row>
    <row r="771">
      <c r="A771" s="85"/>
      <c r="B771" s="85"/>
      <c r="C771" s="85"/>
      <c r="D771" s="85"/>
      <c r="E771" s="85"/>
      <c r="F771" s="85"/>
    </row>
    <row r="772">
      <c r="A772" s="85"/>
      <c r="B772" s="85"/>
      <c r="C772" s="85"/>
      <c r="D772" s="85"/>
      <c r="E772" s="85"/>
      <c r="F772" s="85"/>
    </row>
    <row r="773">
      <c r="A773" s="85"/>
      <c r="B773" s="85"/>
      <c r="C773" s="85"/>
      <c r="D773" s="85"/>
      <c r="E773" s="85"/>
      <c r="F773" s="85"/>
    </row>
    <row r="774">
      <c r="A774" s="85"/>
      <c r="B774" s="85"/>
      <c r="C774" s="85"/>
      <c r="D774" s="85"/>
      <c r="E774" s="85"/>
      <c r="F774" s="85"/>
    </row>
    <row r="775">
      <c r="A775" s="85"/>
      <c r="B775" s="85"/>
      <c r="C775" s="85"/>
      <c r="D775" s="85"/>
      <c r="E775" s="85"/>
      <c r="F775" s="85"/>
    </row>
    <row r="776">
      <c r="A776" s="85"/>
      <c r="B776" s="85"/>
      <c r="C776" s="85"/>
      <c r="D776" s="85"/>
      <c r="E776" s="85"/>
      <c r="F776" s="85"/>
    </row>
    <row r="777">
      <c r="A777" s="85"/>
      <c r="B777" s="85"/>
      <c r="C777" s="85"/>
      <c r="D777" s="85"/>
      <c r="E777" s="85"/>
      <c r="F777" s="85"/>
    </row>
    <row r="778">
      <c r="A778" s="85"/>
      <c r="B778" s="85"/>
      <c r="C778" s="85"/>
      <c r="D778" s="85"/>
      <c r="E778" s="85"/>
      <c r="F778" s="85"/>
    </row>
    <row r="779">
      <c r="A779" s="85"/>
      <c r="B779" s="85"/>
      <c r="C779" s="85"/>
      <c r="D779" s="85"/>
      <c r="E779" s="85"/>
      <c r="F779" s="85"/>
    </row>
    <row r="780">
      <c r="A780" s="85"/>
      <c r="B780" s="85"/>
      <c r="C780" s="85"/>
      <c r="D780" s="85"/>
      <c r="E780" s="85"/>
      <c r="F780" s="85"/>
    </row>
    <row r="781">
      <c r="A781" s="85"/>
      <c r="B781" s="85"/>
      <c r="C781" s="85"/>
      <c r="D781" s="85"/>
      <c r="E781" s="85"/>
      <c r="F781" s="85"/>
    </row>
    <row r="782">
      <c r="A782" s="85"/>
      <c r="B782" s="85"/>
      <c r="C782" s="85"/>
      <c r="D782" s="85"/>
      <c r="E782" s="85"/>
      <c r="F782" s="85"/>
    </row>
    <row r="783">
      <c r="A783" s="85"/>
      <c r="B783" s="85"/>
      <c r="C783" s="85"/>
      <c r="D783" s="85"/>
      <c r="E783" s="85"/>
      <c r="F783" s="85"/>
    </row>
    <row r="784">
      <c r="A784" s="85"/>
      <c r="B784" s="85"/>
      <c r="C784" s="85"/>
      <c r="D784" s="85"/>
      <c r="E784" s="85"/>
      <c r="F784" s="85"/>
    </row>
    <row r="785">
      <c r="A785" s="85"/>
      <c r="B785" s="85"/>
      <c r="C785" s="85"/>
      <c r="D785" s="85"/>
      <c r="E785" s="85"/>
      <c r="F785" s="85"/>
    </row>
    <row r="786">
      <c r="A786" s="85"/>
      <c r="B786" s="85"/>
      <c r="C786" s="85"/>
      <c r="D786" s="85"/>
      <c r="E786" s="85"/>
      <c r="F786" s="85"/>
    </row>
    <row r="787">
      <c r="A787" s="85"/>
      <c r="B787" s="85"/>
      <c r="C787" s="85"/>
      <c r="D787" s="85"/>
      <c r="E787" s="85"/>
      <c r="F787" s="85"/>
    </row>
    <row r="788">
      <c r="A788" s="85"/>
      <c r="B788" s="85"/>
      <c r="C788" s="85"/>
      <c r="D788" s="85"/>
      <c r="E788" s="85"/>
      <c r="F788" s="85"/>
    </row>
    <row r="789">
      <c r="A789" s="85"/>
      <c r="B789" s="85"/>
      <c r="C789" s="85"/>
      <c r="D789" s="85"/>
      <c r="E789" s="85"/>
      <c r="F789" s="85"/>
    </row>
    <row r="790">
      <c r="A790" s="85"/>
      <c r="B790" s="85"/>
      <c r="C790" s="85"/>
      <c r="D790" s="85"/>
      <c r="E790" s="85"/>
      <c r="F790" s="85"/>
    </row>
    <row r="791">
      <c r="A791" s="85"/>
      <c r="B791" s="85"/>
      <c r="C791" s="85"/>
      <c r="D791" s="85"/>
      <c r="E791" s="85"/>
      <c r="F791" s="85"/>
    </row>
    <row r="792">
      <c r="A792" s="85"/>
      <c r="B792" s="85"/>
      <c r="C792" s="85"/>
      <c r="D792" s="85"/>
      <c r="E792" s="85"/>
      <c r="F792" s="85"/>
    </row>
    <row r="793">
      <c r="A793" s="85"/>
      <c r="B793" s="85"/>
      <c r="C793" s="85"/>
      <c r="D793" s="85"/>
      <c r="E793" s="85"/>
      <c r="F793" s="85"/>
    </row>
    <row r="794">
      <c r="A794" s="85"/>
      <c r="B794" s="85"/>
      <c r="C794" s="85"/>
      <c r="D794" s="85"/>
      <c r="E794" s="85"/>
      <c r="F794" s="85"/>
    </row>
    <row r="795">
      <c r="A795" s="85"/>
      <c r="B795" s="85"/>
      <c r="C795" s="85"/>
      <c r="D795" s="85"/>
      <c r="E795" s="85"/>
      <c r="F795" s="85"/>
    </row>
    <row r="796">
      <c r="A796" s="85"/>
      <c r="B796" s="85"/>
      <c r="C796" s="85"/>
      <c r="D796" s="85"/>
      <c r="E796" s="85"/>
      <c r="F796" s="85"/>
    </row>
    <row r="797">
      <c r="A797" s="85"/>
      <c r="B797" s="85"/>
      <c r="C797" s="85"/>
      <c r="D797" s="85"/>
      <c r="E797" s="85"/>
      <c r="F797" s="85"/>
    </row>
    <row r="798">
      <c r="A798" s="85"/>
      <c r="B798" s="85"/>
      <c r="C798" s="85"/>
      <c r="D798" s="85"/>
      <c r="E798" s="85"/>
      <c r="F798" s="85"/>
    </row>
    <row r="799">
      <c r="A799" s="85"/>
      <c r="B799" s="85"/>
      <c r="C799" s="85"/>
      <c r="D799" s="85"/>
      <c r="E799" s="85"/>
      <c r="F799" s="85"/>
    </row>
    <row r="800">
      <c r="A800" s="85"/>
      <c r="B800" s="85"/>
      <c r="C800" s="85"/>
      <c r="D800" s="85"/>
      <c r="E800" s="85"/>
      <c r="F800" s="85"/>
    </row>
    <row r="801">
      <c r="A801" s="85"/>
      <c r="B801" s="85"/>
      <c r="C801" s="85"/>
      <c r="D801" s="85"/>
      <c r="E801" s="85"/>
      <c r="F801" s="85"/>
    </row>
    <row r="802">
      <c r="A802" s="85"/>
      <c r="B802" s="85"/>
      <c r="C802" s="85"/>
      <c r="D802" s="85"/>
      <c r="E802" s="85"/>
      <c r="F802" s="85"/>
    </row>
    <row r="803">
      <c r="A803" s="85"/>
      <c r="B803" s="85"/>
      <c r="C803" s="85"/>
      <c r="D803" s="85"/>
      <c r="E803" s="85"/>
      <c r="F803" s="85"/>
    </row>
    <row r="804">
      <c r="A804" s="85"/>
      <c r="B804" s="85"/>
      <c r="C804" s="85"/>
      <c r="D804" s="85"/>
      <c r="E804" s="85"/>
      <c r="F804" s="85"/>
    </row>
    <row r="805">
      <c r="A805" s="85"/>
      <c r="B805" s="85"/>
      <c r="C805" s="85"/>
      <c r="D805" s="85"/>
      <c r="E805" s="85"/>
      <c r="F805" s="85"/>
    </row>
    <row r="806">
      <c r="A806" s="85"/>
      <c r="B806" s="85"/>
      <c r="C806" s="85"/>
      <c r="D806" s="85"/>
      <c r="E806" s="85"/>
      <c r="F806" s="85"/>
    </row>
    <row r="807">
      <c r="A807" s="85"/>
      <c r="B807" s="85"/>
      <c r="C807" s="85"/>
      <c r="D807" s="85"/>
      <c r="E807" s="85"/>
      <c r="F807" s="85"/>
    </row>
    <row r="808">
      <c r="A808" s="85"/>
      <c r="B808" s="85"/>
      <c r="C808" s="85"/>
      <c r="D808" s="85"/>
      <c r="E808" s="85"/>
      <c r="F808" s="85"/>
    </row>
    <row r="809">
      <c r="A809" s="85"/>
      <c r="B809" s="85"/>
      <c r="C809" s="85"/>
      <c r="D809" s="85"/>
      <c r="E809" s="85"/>
      <c r="F809" s="85"/>
    </row>
    <row r="810">
      <c r="A810" s="85"/>
      <c r="B810" s="85"/>
      <c r="C810" s="85"/>
      <c r="D810" s="85"/>
      <c r="E810" s="85"/>
      <c r="F810" s="85"/>
    </row>
    <row r="811">
      <c r="A811" s="85"/>
      <c r="B811" s="85"/>
      <c r="C811" s="85"/>
      <c r="D811" s="85"/>
      <c r="E811" s="85"/>
      <c r="F811" s="85"/>
    </row>
    <row r="812">
      <c r="A812" s="85"/>
      <c r="B812" s="85"/>
      <c r="C812" s="85"/>
      <c r="D812" s="85"/>
      <c r="E812" s="85"/>
      <c r="F812" s="85"/>
    </row>
    <row r="813">
      <c r="A813" s="85"/>
      <c r="B813" s="85"/>
      <c r="C813" s="85"/>
      <c r="D813" s="85"/>
      <c r="E813" s="85"/>
      <c r="F813" s="85"/>
    </row>
    <row r="814">
      <c r="A814" s="85"/>
      <c r="B814" s="85"/>
      <c r="C814" s="85"/>
      <c r="D814" s="85"/>
      <c r="E814" s="85"/>
      <c r="F814" s="85"/>
    </row>
    <row r="815">
      <c r="A815" s="85"/>
      <c r="B815" s="85"/>
      <c r="C815" s="85"/>
      <c r="D815" s="85"/>
      <c r="E815" s="85"/>
      <c r="F815" s="85"/>
    </row>
    <row r="816">
      <c r="A816" s="85"/>
      <c r="B816" s="85"/>
      <c r="C816" s="85"/>
      <c r="D816" s="85"/>
      <c r="E816" s="85"/>
      <c r="F816" s="85"/>
    </row>
    <row r="817">
      <c r="A817" s="85"/>
      <c r="B817" s="85"/>
      <c r="C817" s="85"/>
      <c r="D817" s="85"/>
      <c r="E817" s="85"/>
      <c r="F817" s="85"/>
    </row>
    <row r="818">
      <c r="A818" s="85"/>
      <c r="B818" s="85"/>
      <c r="C818" s="85"/>
      <c r="D818" s="85"/>
      <c r="E818" s="85"/>
      <c r="F818" s="85"/>
    </row>
    <row r="819">
      <c r="A819" s="85"/>
      <c r="B819" s="85"/>
      <c r="C819" s="85"/>
      <c r="D819" s="85"/>
      <c r="E819" s="85"/>
      <c r="F819" s="85"/>
    </row>
    <row r="820">
      <c r="A820" s="85"/>
      <c r="B820" s="85"/>
      <c r="C820" s="85"/>
      <c r="D820" s="85"/>
      <c r="E820" s="85"/>
      <c r="F820" s="85"/>
    </row>
    <row r="821">
      <c r="A821" s="85"/>
      <c r="B821" s="85"/>
      <c r="C821" s="85"/>
      <c r="D821" s="85"/>
      <c r="E821" s="85"/>
      <c r="F821" s="85"/>
    </row>
    <row r="822">
      <c r="A822" s="85"/>
      <c r="B822" s="85"/>
      <c r="C822" s="85"/>
      <c r="D822" s="85"/>
      <c r="E822" s="85"/>
      <c r="F822" s="85"/>
    </row>
    <row r="823">
      <c r="A823" s="85"/>
      <c r="B823" s="85"/>
      <c r="C823" s="85"/>
      <c r="D823" s="85"/>
      <c r="E823" s="85"/>
      <c r="F823" s="85"/>
    </row>
    <row r="824">
      <c r="A824" s="85"/>
      <c r="B824" s="85"/>
      <c r="C824" s="85"/>
      <c r="D824" s="85"/>
      <c r="E824" s="85"/>
      <c r="F824" s="85"/>
    </row>
    <row r="825">
      <c r="A825" s="85"/>
      <c r="B825" s="85"/>
      <c r="C825" s="85"/>
      <c r="D825" s="85"/>
      <c r="E825" s="85"/>
      <c r="F825" s="85"/>
    </row>
    <row r="826">
      <c r="A826" s="85"/>
      <c r="B826" s="85"/>
      <c r="C826" s="85"/>
      <c r="D826" s="85"/>
      <c r="E826" s="85"/>
      <c r="F826" s="85"/>
    </row>
    <row r="827">
      <c r="A827" s="85"/>
      <c r="B827" s="85"/>
      <c r="C827" s="85"/>
      <c r="D827" s="85"/>
      <c r="E827" s="85"/>
      <c r="F827" s="85"/>
    </row>
    <row r="828">
      <c r="A828" s="85"/>
      <c r="B828" s="85"/>
      <c r="C828" s="85"/>
      <c r="D828" s="85"/>
      <c r="E828" s="85"/>
      <c r="F828" s="85"/>
    </row>
    <row r="829">
      <c r="A829" s="85"/>
      <c r="B829" s="85"/>
      <c r="C829" s="85"/>
      <c r="D829" s="85"/>
      <c r="E829" s="85"/>
      <c r="F829" s="85"/>
    </row>
    <row r="830">
      <c r="A830" s="85"/>
      <c r="B830" s="85"/>
      <c r="C830" s="85"/>
      <c r="D830" s="85"/>
      <c r="E830" s="85"/>
      <c r="F830" s="85"/>
    </row>
    <row r="831">
      <c r="A831" s="85"/>
      <c r="B831" s="85"/>
      <c r="C831" s="85"/>
      <c r="D831" s="85"/>
      <c r="E831" s="85"/>
      <c r="F831" s="85"/>
    </row>
    <row r="832">
      <c r="A832" s="85"/>
      <c r="B832" s="85"/>
      <c r="C832" s="85"/>
      <c r="D832" s="85"/>
      <c r="E832" s="85"/>
      <c r="F832" s="85"/>
    </row>
    <row r="833">
      <c r="A833" s="85"/>
      <c r="B833" s="85"/>
      <c r="C833" s="85"/>
      <c r="D833" s="85"/>
      <c r="E833" s="85"/>
      <c r="F833" s="85"/>
    </row>
    <row r="834">
      <c r="A834" s="85"/>
      <c r="B834" s="85"/>
      <c r="C834" s="85"/>
      <c r="D834" s="85"/>
      <c r="E834" s="85"/>
      <c r="F834" s="85"/>
    </row>
    <row r="835">
      <c r="A835" s="85"/>
      <c r="B835" s="85"/>
      <c r="C835" s="85"/>
      <c r="D835" s="85"/>
      <c r="E835" s="85"/>
      <c r="F835" s="85"/>
    </row>
    <row r="836">
      <c r="A836" s="85"/>
      <c r="B836" s="85"/>
      <c r="C836" s="85"/>
      <c r="D836" s="85"/>
      <c r="E836" s="85"/>
      <c r="F836" s="85"/>
    </row>
    <row r="837">
      <c r="A837" s="85"/>
      <c r="B837" s="85"/>
      <c r="C837" s="85"/>
      <c r="D837" s="85"/>
      <c r="E837" s="85"/>
      <c r="F837" s="85"/>
    </row>
    <row r="838">
      <c r="A838" s="85"/>
      <c r="B838" s="85"/>
      <c r="C838" s="85"/>
      <c r="D838" s="85"/>
      <c r="E838" s="85"/>
      <c r="F838" s="85"/>
    </row>
    <row r="839">
      <c r="A839" s="85"/>
      <c r="B839" s="85"/>
      <c r="C839" s="85"/>
      <c r="D839" s="85"/>
      <c r="E839" s="85"/>
      <c r="F839" s="85"/>
    </row>
    <row r="840">
      <c r="A840" s="85"/>
      <c r="B840" s="85"/>
      <c r="C840" s="85"/>
      <c r="D840" s="85"/>
      <c r="E840" s="85"/>
      <c r="F840" s="85"/>
    </row>
    <row r="841">
      <c r="A841" s="85"/>
      <c r="B841" s="85"/>
      <c r="C841" s="85"/>
      <c r="D841" s="85"/>
      <c r="E841" s="85"/>
      <c r="F841" s="85"/>
    </row>
    <row r="842">
      <c r="A842" s="85"/>
      <c r="B842" s="85"/>
      <c r="C842" s="85"/>
      <c r="D842" s="85"/>
      <c r="E842" s="85"/>
      <c r="F842" s="85"/>
    </row>
    <row r="843">
      <c r="A843" s="85"/>
      <c r="B843" s="85"/>
      <c r="C843" s="85"/>
      <c r="D843" s="85"/>
      <c r="E843" s="85"/>
      <c r="F843" s="85"/>
    </row>
    <row r="844">
      <c r="A844" s="85"/>
      <c r="B844" s="85"/>
      <c r="C844" s="85"/>
      <c r="D844" s="85"/>
      <c r="E844" s="85"/>
      <c r="F844" s="85"/>
    </row>
    <row r="845">
      <c r="A845" s="85"/>
      <c r="B845" s="85"/>
      <c r="C845" s="85"/>
      <c r="D845" s="85"/>
      <c r="E845" s="85"/>
      <c r="F845" s="85"/>
    </row>
    <row r="846">
      <c r="A846" s="85"/>
      <c r="B846" s="85"/>
      <c r="C846" s="85"/>
      <c r="D846" s="85"/>
      <c r="E846" s="85"/>
      <c r="F846" s="85"/>
    </row>
    <row r="847">
      <c r="A847" s="85"/>
      <c r="B847" s="85"/>
      <c r="C847" s="85"/>
      <c r="D847" s="85"/>
      <c r="E847" s="85"/>
      <c r="F847" s="85"/>
    </row>
    <row r="848">
      <c r="A848" s="85"/>
      <c r="B848" s="85"/>
      <c r="C848" s="85"/>
      <c r="D848" s="85"/>
      <c r="E848" s="85"/>
      <c r="F848" s="85"/>
    </row>
    <row r="849">
      <c r="A849" s="85"/>
      <c r="B849" s="85"/>
      <c r="C849" s="85"/>
      <c r="D849" s="85"/>
      <c r="E849" s="85"/>
      <c r="F849" s="85"/>
    </row>
    <row r="850">
      <c r="A850" s="85"/>
      <c r="B850" s="85"/>
      <c r="C850" s="85"/>
      <c r="D850" s="85"/>
      <c r="E850" s="85"/>
      <c r="F850" s="85"/>
    </row>
    <row r="851">
      <c r="A851" s="85"/>
      <c r="B851" s="85"/>
      <c r="C851" s="85"/>
      <c r="D851" s="85"/>
      <c r="E851" s="85"/>
      <c r="F851" s="85"/>
    </row>
    <row r="852">
      <c r="A852" s="85"/>
      <c r="B852" s="85"/>
      <c r="C852" s="85"/>
      <c r="D852" s="85"/>
      <c r="E852" s="85"/>
      <c r="F852" s="85"/>
    </row>
    <row r="853">
      <c r="A853" s="85"/>
      <c r="B853" s="85"/>
      <c r="C853" s="85"/>
      <c r="D853" s="85"/>
      <c r="E853" s="85"/>
      <c r="F853" s="85"/>
    </row>
    <row r="854">
      <c r="A854" s="85"/>
      <c r="B854" s="85"/>
      <c r="C854" s="85"/>
      <c r="D854" s="85"/>
      <c r="E854" s="85"/>
      <c r="F854" s="85"/>
    </row>
    <row r="855">
      <c r="A855" s="85"/>
      <c r="B855" s="85"/>
      <c r="C855" s="85"/>
      <c r="D855" s="85"/>
      <c r="E855" s="85"/>
      <c r="F855" s="85"/>
    </row>
    <row r="856">
      <c r="A856" s="85"/>
      <c r="B856" s="85"/>
      <c r="C856" s="85"/>
      <c r="D856" s="85"/>
      <c r="E856" s="85"/>
      <c r="F856" s="85"/>
    </row>
    <row r="857">
      <c r="A857" s="85"/>
      <c r="B857" s="85"/>
      <c r="C857" s="85"/>
      <c r="D857" s="85"/>
      <c r="E857" s="85"/>
      <c r="F857" s="85"/>
    </row>
    <row r="858">
      <c r="A858" s="85"/>
      <c r="B858" s="85"/>
      <c r="C858" s="85"/>
      <c r="D858" s="85"/>
      <c r="E858" s="85"/>
      <c r="F858" s="85"/>
    </row>
    <row r="859">
      <c r="A859" s="85"/>
      <c r="B859" s="85"/>
      <c r="C859" s="85"/>
      <c r="D859" s="85"/>
      <c r="E859" s="85"/>
      <c r="F859" s="85"/>
    </row>
    <row r="860">
      <c r="A860" s="85"/>
      <c r="B860" s="85"/>
      <c r="C860" s="85"/>
      <c r="D860" s="85"/>
      <c r="E860" s="85"/>
      <c r="F860" s="85"/>
    </row>
    <row r="861">
      <c r="A861" s="85"/>
      <c r="B861" s="85"/>
      <c r="C861" s="85"/>
      <c r="D861" s="85"/>
      <c r="E861" s="85"/>
      <c r="F861" s="85"/>
    </row>
    <row r="862">
      <c r="A862" s="85"/>
      <c r="B862" s="85"/>
      <c r="C862" s="85"/>
      <c r="D862" s="85"/>
      <c r="E862" s="85"/>
      <c r="F862" s="85"/>
    </row>
    <row r="863">
      <c r="A863" s="85"/>
      <c r="B863" s="85"/>
      <c r="C863" s="85"/>
      <c r="D863" s="85"/>
      <c r="E863" s="85"/>
      <c r="F863" s="85"/>
    </row>
    <row r="864">
      <c r="A864" s="85"/>
      <c r="B864" s="85"/>
      <c r="C864" s="85"/>
      <c r="D864" s="85"/>
      <c r="E864" s="85"/>
      <c r="F864" s="85"/>
    </row>
    <row r="865">
      <c r="A865" s="85"/>
      <c r="B865" s="85"/>
      <c r="C865" s="85"/>
      <c r="D865" s="85"/>
      <c r="E865" s="85"/>
      <c r="F865" s="85"/>
    </row>
    <row r="866">
      <c r="A866" s="85"/>
      <c r="B866" s="85"/>
      <c r="C866" s="85"/>
      <c r="D866" s="85"/>
      <c r="E866" s="85"/>
      <c r="F866" s="85"/>
    </row>
    <row r="867">
      <c r="A867" s="85"/>
      <c r="B867" s="85"/>
      <c r="C867" s="85"/>
      <c r="D867" s="85"/>
      <c r="E867" s="85"/>
      <c r="F867" s="85"/>
    </row>
    <row r="868">
      <c r="A868" s="85"/>
      <c r="B868" s="85"/>
      <c r="C868" s="85"/>
      <c r="D868" s="85"/>
      <c r="E868" s="85"/>
      <c r="F868" s="85"/>
    </row>
    <row r="869">
      <c r="A869" s="85"/>
      <c r="B869" s="85"/>
      <c r="C869" s="85"/>
      <c r="D869" s="85"/>
      <c r="E869" s="85"/>
      <c r="F869" s="85"/>
    </row>
    <row r="870">
      <c r="A870" s="85"/>
      <c r="B870" s="85"/>
      <c r="C870" s="85"/>
      <c r="D870" s="85"/>
      <c r="E870" s="85"/>
      <c r="F870" s="85"/>
    </row>
    <row r="871">
      <c r="A871" s="85"/>
      <c r="B871" s="85"/>
      <c r="C871" s="85"/>
      <c r="D871" s="85"/>
      <c r="E871" s="85"/>
      <c r="F871" s="85"/>
    </row>
    <row r="872">
      <c r="A872" s="85"/>
      <c r="B872" s="85"/>
      <c r="C872" s="85"/>
      <c r="D872" s="85"/>
      <c r="E872" s="85"/>
      <c r="F872" s="85"/>
    </row>
    <row r="873">
      <c r="A873" s="85"/>
      <c r="B873" s="85"/>
      <c r="C873" s="85"/>
      <c r="D873" s="85"/>
      <c r="E873" s="85"/>
      <c r="F873" s="85"/>
    </row>
    <row r="874">
      <c r="A874" s="85"/>
      <c r="B874" s="85"/>
      <c r="C874" s="85"/>
      <c r="D874" s="85"/>
      <c r="E874" s="85"/>
      <c r="F874" s="85"/>
    </row>
    <row r="875">
      <c r="A875" s="85"/>
      <c r="B875" s="85"/>
      <c r="C875" s="85"/>
      <c r="D875" s="85"/>
      <c r="E875" s="85"/>
      <c r="F875" s="85"/>
    </row>
    <row r="876">
      <c r="A876" s="85"/>
      <c r="B876" s="85"/>
      <c r="C876" s="85"/>
      <c r="D876" s="85"/>
      <c r="E876" s="85"/>
      <c r="F876" s="85"/>
    </row>
    <row r="877">
      <c r="A877" s="85"/>
      <c r="B877" s="85"/>
      <c r="C877" s="85"/>
      <c r="D877" s="85"/>
      <c r="E877" s="85"/>
      <c r="F877" s="85"/>
    </row>
    <row r="878">
      <c r="A878" s="85"/>
      <c r="B878" s="85"/>
      <c r="C878" s="85"/>
      <c r="D878" s="85"/>
      <c r="E878" s="85"/>
      <c r="F878" s="85"/>
    </row>
    <row r="879">
      <c r="A879" s="85"/>
      <c r="B879" s="85"/>
      <c r="C879" s="85"/>
      <c r="D879" s="85"/>
      <c r="E879" s="85"/>
      <c r="F879" s="85"/>
    </row>
    <row r="880">
      <c r="A880" s="85"/>
      <c r="B880" s="85"/>
      <c r="C880" s="85"/>
      <c r="D880" s="85"/>
      <c r="E880" s="85"/>
      <c r="F880" s="85"/>
    </row>
    <row r="881">
      <c r="A881" s="85"/>
      <c r="B881" s="85"/>
      <c r="C881" s="85"/>
      <c r="D881" s="85"/>
      <c r="E881" s="85"/>
      <c r="F881" s="85"/>
    </row>
    <row r="882">
      <c r="A882" s="85"/>
      <c r="B882" s="85"/>
      <c r="C882" s="85"/>
      <c r="D882" s="85"/>
      <c r="E882" s="85"/>
      <c r="F882" s="85"/>
    </row>
    <row r="883">
      <c r="A883" s="85"/>
      <c r="B883" s="85"/>
      <c r="C883" s="85"/>
      <c r="D883" s="85"/>
      <c r="E883" s="85"/>
      <c r="F883" s="85"/>
    </row>
    <row r="884">
      <c r="A884" s="85"/>
      <c r="B884" s="85"/>
      <c r="C884" s="85"/>
      <c r="D884" s="85"/>
      <c r="E884" s="85"/>
      <c r="F884" s="85"/>
    </row>
    <row r="885">
      <c r="A885" s="85"/>
      <c r="B885" s="85"/>
      <c r="C885" s="85"/>
      <c r="D885" s="85"/>
      <c r="E885" s="85"/>
      <c r="F885" s="85"/>
    </row>
    <row r="886">
      <c r="A886" s="85"/>
      <c r="B886" s="85"/>
      <c r="C886" s="85"/>
      <c r="D886" s="85"/>
      <c r="E886" s="85"/>
      <c r="F886" s="85"/>
    </row>
    <row r="887">
      <c r="A887" s="85"/>
      <c r="B887" s="85"/>
      <c r="C887" s="85"/>
      <c r="D887" s="85"/>
      <c r="E887" s="85"/>
      <c r="F887" s="85"/>
    </row>
    <row r="888">
      <c r="A888" s="85"/>
      <c r="B888" s="85"/>
      <c r="C888" s="85"/>
      <c r="D888" s="85"/>
      <c r="E888" s="85"/>
      <c r="F888" s="85"/>
    </row>
    <row r="889">
      <c r="A889" s="85"/>
      <c r="B889" s="85"/>
      <c r="C889" s="85"/>
      <c r="D889" s="85"/>
      <c r="E889" s="85"/>
      <c r="F889" s="85"/>
    </row>
    <row r="890">
      <c r="A890" s="85"/>
      <c r="B890" s="85"/>
      <c r="C890" s="85"/>
      <c r="D890" s="85"/>
      <c r="E890" s="85"/>
      <c r="F890" s="85"/>
    </row>
    <row r="891">
      <c r="A891" s="85"/>
      <c r="B891" s="85"/>
      <c r="C891" s="85"/>
      <c r="D891" s="85"/>
      <c r="E891" s="85"/>
      <c r="F891" s="85"/>
    </row>
    <row r="892">
      <c r="A892" s="85"/>
      <c r="B892" s="85"/>
      <c r="C892" s="85"/>
      <c r="D892" s="85"/>
      <c r="E892" s="85"/>
      <c r="F892" s="85"/>
    </row>
    <row r="893">
      <c r="A893" s="85"/>
      <c r="B893" s="85"/>
      <c r="C893" s="85"/>
      <c r="D893" s="85"/>
      <c r="E893" s="85"/>
      <c r="F893" s="85"/>
    </row>
    <row r="894">
      <c r="A894" s="85"/>
      <c r="B894" s="85"/>
      <c r="C894" s="85"/>
      <c r="D894" s="85"/>
      <c r="E894" s="85"/>
      <c r="F894" s="85"/>
    </row>
    <row r="895">
      <c r="A895" s="85"/>
      <c r="B895" s="85"/>
      <c r="C895" s="85"/>
      <c r="D895" s="85"/>
      <c r="E895" s="85"/>
      <c r="F895" s="85"/>
    </row>
    <row r="896">
      <c r="A896" s="85"/>
      <c r="B896" s="85"/>
      <c r="C896" s="85"/>
      <c r="D896" s="85"/>
      <c r="E896" s="85"/>
      <c r="F896" s="85"/>
    </row>
    <row r="897">
      <c r="A897" s="85"/>
      <c r="B897" s="85"/>
      <c r="C897" s="85"/>
      <c r="D897" s="85"/>
      <c r="E897" s="85"/>
      <c r="F897" s="85"/>
    </row>
    <row r="898">
      <c r="A898" s="85"/>
      <c r="B898" s="85"/>
      <c r="C898" s="85"/>
      <c r="D898" s="85"/>
      <c r="E898" s="85"/>
      <c r="F898" s="85"/>
    </row>
    <row r="899">
      <c r="A899" s="85"/>
      <c r="B899" s="85"/>
      <c r="C899" s="85"/>
      <c r="D899" s="85"/>
      <c r="E899" s="85"/>
      <c r="F899" s="85"/>
    </row>
    <row r="900">
      <c r="A900" s="85"/>
      <c r="B900" s="85"/>
      <c r="C900" s="85"/>
      <c r="D900" s="85"/>
      <c r="E900" s="85"/>
      <c r="F900" s="85"/>
    </row>
    <row r="901">
      <c r="A901" s="85"/>
      <c r="B901" s="85"/>
      <c r="C901" s="85"/>
      <c r="D901" s="85"/>
      <c r="E901" s="85"/>
      <c r="F901" s="85"/>
    </row>
    <row r="902">
      <c r="A902" s="85"/>
      <c r="B902" s="85"/>
      <c r="C902" s="85"/>
      <c r="D902" s="85"/>
      <c r="E902" s="85"/>
      <c r="F902" s="85"/>
    </row>
    <row r="903">
      <c r="A903" s="85"/>
      <c r="B903" s="85"/>
      <c r="C903" s="85"/>
      <c r="D903" s="85"/>
      <c r="E903" s="85"/>
      <c r="F903" s="85"/>
    </row>
    <row r="904">
      <c r="A904" s="85"/>
      <c r="B904" s="85"/>
      <c r="C904" s="85"/>
      <c r="D904" s="85"/>
      <c r="E904" s="85"/>
      <c r="F904" s="85"/>
    </row>
    <row r="905">
      <c r="A905" s="85"/>
      <c r="B905" s="85"/>
      <c r="C905" s="85"/>
      <c r="D905" s="85"/>
      <c r="E905" s="85"/>
      <c r="F905" s="85"/>
    </row>
    <row r="906">
      <c r="A906" s="85"/>
      <c r="B906" s="85"/>
      <c r="C906" s="85"/>
      <c r="D906" s="85"/>
      <c r="E906" s="85"/>
      <c r="F906" s="85"/>
    </row>
    <row r="907">
      <c r="A907" s="85"/>
      <c r="B907" s="85"/>
      <c r="C907" s="85"/>
      <c r="D907" s="85"/>
      <c r="E907" s="85"/>
      <c r="F907" s="85"/>
    </row>
    <row r="908">
      <c r="A908" s="85"/>
      <c r="B908" s="85"/>
      <c r="C908" s="85"/>
      <c r="D908" s="85"/>
      <c r="E908" s="85"/>
      <c r="F908" s="85"/>
    </row>
    <row r="909">
      <c r="A909" s="85"/>
      <c r="B909" s="85"/>
      <c r="C909" s="85"/>
      <c r="D909" s="85"/>
      <c r="E909" s="85"/>
      <c r="F909" s="85"/>
    </row>
    <row r="910">
      <c r="A910" s="85"/>
      <c r="B910" s="85"/>
      <c r="C910" s="85"/>
      <c r="D910" s="85"/>
      <c r="E910" s="85"/>
      <c r="F910" s="85"/>
    </row>
    <row r="911">
      <c r="A911" s="85"/>
      <c r="B911" s="85"/>
      <c r="C911" s="85"/>
      <c r="D911" s="85"/>
      <c r="E911" s="85"/>
      <c r="F911" s="85"/>
    </row>
    <row r="912">
      <c r="A912" s="85"/>
      <c r="B912" s="85"/>
      <c r="C912" s="85"/>
      <c r="D912" s="85"/>
      <c r="E912" s="85"/>
      <c r="F912" s="85"/>
    </row>
    <row r="913">
      <c r="A913" s="85"/>
      <c r="B913" s="85"/>
      <c r="C913" s="85"/>
      <c r="D913" s="85"/>
      <c r="E913" s="85"/>
      <c r="F913" s="85"/>
    </row>
    <row r="914">
      <c r="A914" s="85"/>
      <c r="B914" s="85"/>
      <c r="C914" s="85"/>
      <c r="D914" s="85"/>
      <c r="E914" s="85"/>
      <c r="F914" s="85"/>
    </row>
    <row r="915">
      <c r="A915" s="85"/>
      <c r="B915" s="85"/>
      <c r="C915" s="85"/>
      <c r="D915" s="85"/>
      <c r="E915" s="85"/>
      <c r="F915" s="85"/>
    </row>
    <row r="916">
      <c r="A916" s="85"/>
      <c r="B916" s="85"/>
      <c r="C916" s="85"/>
      <c r="D916" s="85"/>
      <c r="E916" s="85"/>
      <c r="F916" s="85"/>
    </row>
    <row r="917">
      <c r="A917" s="85"/>
      <c r="B917" s="85"/>
      <c r="C917" s="85"/>
      <c r="D917" s="85"/>
      <c r="E917" s="85"/>
      <c r="F917" s="85"/>
    </row>
    <row r="918">
      <c r="A918" s="85"/>
      <c r="B918" s="85"/>
      <c r="C918" s="85"/>
      <c r="D918" s="85"/>
      <c r="E918" s="85"/>
      <c r="F918" s="85"/>
    </row>
    <row r="919">
      <c r="A919" s="85"/>
      <c r="B919" s="85"/>
      <c r="C919" s="85"/>
      <c r="D919" s="85"/>
      <c r="E919" s="85"/>
      <c r="F919" s="85"/>
    </row>
    <row r="920">
      <c r="A920" s="85"/>
      <c r="B920" s="85"/>
      <c r="C920" s="85"/>
      <c r="D920" s="85"/>
      <c r="E920" s="85"/>
      <c r="F920" s="85"/>
    </row>
    <row r="921">
      <c r="A921" s="85"/>
      <c r="B921" s="85"/>
      <c r="C921" s="85"/>
      <c r="D921" s="85"/>
      <c r="E921" s="85"/>
      <c r="F921" s="85"/>
    </row>
    <row r="922">
      <c r="A922" s="85"/>
      <c r="B922" s="85"/>
      <c r="C922" s="85"/>
      <c r="D922" s="85"/>
      <c r="E922" s="85"/>
      <c r="F922" s="85"/>
    </row>
    <row r="923">
      <c r="A923" s="85"/>
      <c r="B923" s="85"/>
      <c r="C923" s="85"/>
      <c r="D923" s="85"/>
      <c r="E923" s="85"/>
      <c r="F923" s="85"/>
    </row>
    <row r="924">
      <c r="A924" s="85"/>
      <c r="B924" s="85"/>
      <c r="C924" s="85"/>
      <c r="D924" s="85"/>
      <c r="E924" s="85"/>
      <c r="F924" s="85"/>
    </row>
    <row r="925">
      <c r="A925" s="85"/>
      <c r="B925" s="85"/>
      <c r="C925" s="85"/>
      <c r="D925" s="85"/>
      <c r="E925" s="85"/>
      <c r="F925" s="85"/>
    </row>
    <row r="926">
      <c r="A926" s="85"/>
      <c r="B926" s="85"/>
      <c r="C926" s="85"/>
      <c r="D926" s="85"/>
      <c r="E926" s="85"/>
      <c r="F926" s="85"/>
    </row>
    <row r="927">
      <c r="A927" s="85"/>
      <c r="B927" s="85"/>
      <c r="C927" s="85"/>
      <c r="D927" s="85"/>
      <c r="E927" s="85"/>
      <c r="F927" s="85"/>
    </row>
    <row r="928">
      <c r="A928" s="85"/>
      <c r="B928" s="85"/>
      <c r="C928" s="85"/>
      <c r="D928" s="85"/>
      <c r="E928" s="85"/>
      <c r="F928" s="85"/>
    </row>
    <row r="929">
      <c r="A929" s="85"/>
      <c r="B929" s="85"/>
      <c r="C929" s="85"/>
      <c r="D929" s="85"/>
      <c r="E929" s="85"/>
      <c r="F929" s="85"/>
    </row>
    <row r="930">
      <c r="A930" s="85"/>
      <c r="B930" s="85"/>
      <c r="C930" s="85"/>
      <c r="D930" s="85"/>
      <c r="E930" s="85"/>
      <c r="F930" s="85"/>
    </row>
    <row r="931">
      <c r="A931" s="85"/>
      <c r="B931" s="85"/>
      <c r="C931" s="85"/>
      <c r="D931" s="85"/>
      <c r="E931" s="85"/>
      <c r="F931" s="85"/>
    </row>
    <row r="932">
      <c r="A932" s="85"/>
      <c r="B932" s="85"/>
      <c r="C932" s="85"/>
      <c r="D932" s="85"/>
      <c r="E932" s="85"/>
      <c r="F932" s="85"/>
    </row>
    <row r="933">
      <c r="A933" s="85"/>
      <c r="B933" s="85"/>
      <c r="C933" s="85"/>
      <c r="D933" s="85"/>
      <c r="E933" s="85"/>
      <c r="F933" s="85"/>
    </row>
    <row r="934">
      <c r="A934" s="85"/>
      <c r="B934" s="85"/>
      <c r="C934" s="85"/>
      <c r="D934" s="85"/>
      <c r="E934" s="85"/>
      <c r="F934" s="85"/>
    </row>
    <row r="935">
      <c r="A935" s="85"/>
      <c r="B935" s="85"/>
      <c r="C935" s="85"/>
      <c r="D935" s="85"/>
      <c r="E935" s="85"/>
      <c r="F935" s="85"/>
    </row>
    <row r="936">
      <c r="A936" s="85"/>
      <c r="B936" s="85"/>
      <c r="C936" s="85"/>
      <c r="D936" s="85"/>
      <c r="E936" s="85"/>
      <c r="F936" s="85"/>
    </row>
    <row r="937">
      <c r="A937" s="85"/>
      <c r="B937" s="85"/>
      <c r="C937" s="85"/>
      <c r="D937" s="85"/>
      <c r="E937" s="85"/>
      <c r="F937" s="85"/>
    </row>
    <row r="938">
      <c r="A938" s="85"/>
      <c r="B938" s="85"/>
      <c r="C938" s="85"/>
      <c r="D938" s="85"/>
      <c r="E938" s="85"/>
      <c r="F938" s="85"/>
    </row>
    <row r="939">
      <c r="A939" s="85"/>
      <c r="B939" s="85"/>
      <c r="C939" s="85"/>
      <c r="D939" s="85"/>
      <c r="E939" s="85"/>
      <c r="F939" s="85"/>
    </row>
    <row r="940">
      <c r="A940" s="85"/>
      <c r="B940" s="85"/>
      <c r="C940" s="85"/>
      <c r="D940" s="85"/>
      <c r="E940" s="85"/>
      <c r="F940" s="85"/>
    </row>
    <row r="941">
      <c r="A941" s="85"/>
      <c r="B941" s="85"/>
      <c r="C941" s="85"/>
      <c r="D941" s="85"/>
      <c r="E941" s="85"/>
      <c r="F941" s="85"/>
    </row>
    <row r="942">
      <c r="A942" s="85"/>
      <c r="B942" s="85"/>
      <c r="C942" s="85"/>
      <c r="D942" s="85"/>
      <c r="E942" s="85"/>
      <c r="F942" s="85"/>
    </row>
    <row r="943">
      <c r="A943" s="85"/>
      <c r="B943" s="85"/>
      <c r="C943" s="85"/>
      <c r="D943" s="85"/>
      <c r="E943" s="85"/>
      <c r="F943" s="85"/>
    </row>
    <row r="944">
      <c r="A944" s="85"/>
      <c r="B944" s="85"/>
      <c r="C944" s="85"/>
      <c r="D944" s="85"/>
      <c r="E944" s="85"/>
      <c r="F944" s="85"/>
    </row>
    <row r="945">
      <c r="A945" s="85"/>
      <c r="B945" s="85"/>
      <c r="C945" s="85"/>
      <c r="D945" s="85"/>
      <c r="E945" s="85"/>
      <c r="F945" s="85"/>
    </row>
    <row r="946">
      <c r="A946" s="85"/>
      <c r="B946" s="85"/>
      <c r="C946" s="85"/>
      <c r="D946" s="85"/>
      <c r="E946" s="85"/>
      <c r="F946" s="85"/>
    </row>
    <row r="947">
      <c r="A947" s="85"/>
      <c r="B947" s="85"/>
      <c r="C947" s="85"/>
      <c r="D947" s="85"/>
      <c r="E947" s="85"/>
      <c r="F947" s="85"/>
    </row>
    <row r="948">
      <c r="A948" s="85"/>
      <c r="B948" s="85"/>
      <c r="C948" s="85"/>
      <c r="D948" s="85"/>
      <c r="E948" s="85"/>
      <c r="F948" s="85"/>
    </row>
    <row r="949">
      <c r="A949" s="85"/>
      <c r="B949" s="85"/>
      <c r="C949" s="85"/>
      <c r="D949" s="85"/>
      <c r="E949" s="85"/>
      <c r="F949" s="85"/>
    </row>
    <row r="950">
      <c r="A950" s="85"/>
      <c r="B950" s="85"/>
      <c r="C950" s="85"/>
      <c r="D950" s="85"/>
      <c r="E950" s="85"/>
      <c r="F950" s="85"/>
    </row>
    <row r="951">
      <c r="A951" s="85"/>
      <c r="B951" s="85"/>
      <c r="C951" s="85"/>
      <c r="D951" s="85"/>
      <c r="E951" s="85"/>
      <c r="F951" s="85"/>
    </row>
    <row r="952">
      <c r="A952" s="85"/>
      <c r="B952" s="85"/>
      <c r="C952" s="85"/>
      <c r="D952" s="85"/>
      <c r="E952" s="85"/>
      <c r="F952" s="85"/>
    </row>
    <row r="953">
      <c r="A953" s="85"/>
      <c r="B953" s="85"/>
      <c r="C953" s="85"/>
      <c r="D953" s="85"/>
      <c r="E953" s="85"/>
      <c r="F953" s="85"/>
    </row>
    <row r="954">
      <c r="A954" s="85"/>
      <c r="B954" s="85"/>
      <c r="C954" s="85"/>
      <c r="D954" s="85"/>
      <c r="E954" s="85"/>
      <c r="F954" s="85"/>
    </row>
    <row r="955">
      <c r="A955" s="85"/>
      <c r="B955" s="85"/>
      <c r="C955" s="85"/>
      <c r="D955" s="85"/>
      <c r="E955" s="85"/>
      <c r="F955" s="85"/>
    </row>
    <row r="956">
      <c r="A956" s="85"/>
      <c r="B956" s="85"/>
      <c r="C956" s="85"/>
      <c r="D956" s="85"/>
      <c r="E956" s="85"/>
      <c r="F956" s="85"/>
    </row>
    <row r="957">
      <c r="A957" s="85"/>
      <c r="B957" s="85"/>
      <c r="C957" s="85"/>
      <c r="D957" s="85"/>
      <c r="E957" s="85"/>
      <c r="F957" s="85"/>
    </row>
    <row r="958">
      <c r="A958" s="85"/>
      <c r="B958" s="85"/>
      <c r="C958" s="85"/>
      <c r="D958" s="85"/>
      <c r="E958" s="85"/>
      <c r="F958" s="85"/>
    </row>
    <row r="959">
      <c r="A959" s="85"/>
      <c r="B959" s="85"/>
      <c r="C959" s="85"/>
      <c r="D959" s="85"/>
      <c r="E959" s="85"/>
      <c r="F959" s="85"/>
    </row>
    <row r="960">
      <c r="A960" s="85"/>
      <c r="B960" s="85"/>
      <c r="C960" s="85"/>
      <c r="D960" s="85"/>
      <c r="E960" s="85"/>
      <c r="F960" s="85"/>
    </row>
    <row r="961">
      <c r="A961" s="85"/>
      <c r="B961" s="85"/>
      <c r="C961" s="85"/>
      <c r="D961" s="85"/>
      <c r="E961" s="85"/>
      <c r="F961" s="85"/>
    </row>
    <row r="962">
      <c r="A962" s="85"/>
      <c r="B962" s="85"/>
      <c r="C962" s="85"/>
      <c r="D962" s="85"/>
      <c r="E962" s="85"/>
      <c r="F962" s="85"/>
    </row>
    <row r="963">
      <c r="A963" s="85"/>
      <c r="B963" s="85"/>
      <c r="C963" s="85"/>
      <c r="D963" s="85"/>
      <c r="E963" s="85"/>
      <c r="F963" s="85"/>
    </row>
    <row r="964">
      <c r="A964" s="85"/>
      <c r="B964" s="85"/>
      <c r="C964" s="85"/>
      <c r="D964" s="85"/>
      <c r="E964" s="85"/>
      <c r="F964" s="85"/>
    </row>
    <row r="965">
      <c r="A965" s="85"/>
      <c r="B965" s="85"/>
      <c r="C965" s="85"/>
      <c r="D965" s="85"/>
      <c r="E965" s="85"/>
      <c r="F965" s="85"/>
    </row>
    <row r="966">
      <c r="A966" s="85"/>
      <c r="B966" s="85"/>
      <c r="C966" s="85"/>
      <c r="D966" s="85"/>
      <c r="E966" s="85"/>
      <c r="F966" s="85"/>
    </row>
    <row r="967">
      <c r="A967" s="85"/>
      <c r="B967" s="85"/>
      <c r="C967" s="85"/>
      <c r="D967" s="85"/>
      <c r="E967" s="85"/>
      <c r="F967" s="85"/>
    </row>
    <row r="968">
      <c r="A968" s="85"/>
      <c r="B968" s="85"/>
      <c r="C968" s="85"/>
      <c r="D968" s="85"/>
      <c r="E968" s="85"/>
      <c r="F968" s="85"/>
    </row>
    <row r="969">
      <c r="A969" s="85"/>
      <c r="B969" s="85"/>
      <c r="C969" s="85"/>
      <c r="D969" s="85"/>
      <c r="E969" s="85"/>
      <c r="F969" s="85"/>
    </row>
    <row r="970">
      <c r="A970" s="85"/>
      <c r="B970" s="85"/>
      <c r="C970" s="85"/>
      <c r="D970" s="85"/>
      <c r="E970" s="85"/>
      <c r="F970" s="85"/>
    </row>
    <row r="971">
      <c r="A971" s="85"/>
      <c r="B971" s="85"/>
      <c r="C971" s="85"/>
      <c r="D971" s="85"/>
      <c r="E971" s="85"/>
      <c r="F971" s="85"/>
    </row>
    <row r="972">
      <c r="A972" s="85"/>
      <c r="B972" s="85"/>
      <c r="C972" s="85"/>
      <c r="D972" s="85"/>
      <c r="E972" s="85"/>
      <c r="F972" s="85"/>
    </row>
    <row r="973">
      <c r="A973" s="85"/>
      <c r="B973" s="85"/>
      <c r="C973" s="85"/>
      <c r="D973" s="85"/>
      <c r="E973" s="85"/>
      <c r="F973" s="85"/>
    </row>
    <row r="974">
      <c r="A974" s="85"/>
      <c r="B974" s="85"/>
      <c r="C974" s="85"/>
      <c r="D974" s="85"/>
      <c r="E974" s="85"/>
      <c r="F974" s="85"/>
    </row>
    <row r="975">
      <c r="A975" s="85"/>
      <c r="B975" s="85"/>
      <c r="C975" s="85"/>
      <c r="D975" s="85"/>
      <c r="E975" s="85"/>
      <c r="F975" s="85"/>
    </row>
    <row r="976">
      <c r="A976" s="85"/>
      <c r="B976" s="85"/>
      <c r="C976" s="85"/>
      <c r="D976" s="85"/>
      <c r="E976" s="85"/>
      <c r="F976" s="85"/>
    </row>
    <row r="977">
      <c r="A977" s="85"/>
      <c r="B977" s="85"/>
      <c r="C977" s="85"/>
      <c r="D977" s="85"/>
      <c r="E977" s="85"/>
      <c r="F977" s="85"/>
    </row>
    <row r="978">
      <c r="A978" s="85"/>
      <c r="B978" s="85"/>
      <c r="C978" s="85"/>
      <c r="D978" s="85"/>
      <c r="E978" s="85"/>
      <c r="F978" s="85"/>
    </row>
    <row r="979">
      <c r="A979" s="85"/>
      <c r="B979" s="85"/>
      <c r="C979" s="85"/>
      <c r="D979" s="85"/>
      <c r="E979" s="85"/>
      <c r="F979" s="85"/>
    </row>
    <row r="980">
      <c r="A980" s="85"/>
      <c r="B980" s="85"/>
      <c r="C980" s="85"/>
      <c r="D980" s="85"/>
      <c r="E980" s="85"/>
      <c r="F980" s="85"/>
    </row>
    <row r="981">
      <c r="A981" s="85"/>
      <c r="B981" s="85"/>
      <c r="C981" s="85"/>
      <c r="D981" s="85"/>
      <c r="E981" s="85"/>
      <c r="F981" s="85"/>
    </row>
    <row r="982">
      <c r="A982" s="85"/>
      <c r="B982" s="85"/>
      <c r="C982" s="85"/>
      <c r="D982" s="85"/>
      <c r="E982" s="85"/>
      <c r="F982" s="85"/>
    </row>
    <row r="983">
      <c r="A983" s="85"/>
      <c r="B983" s="85"/>
      <c r="C983" s="85"/>
      <c r="D983" s="85"/>
      <c r="E983" s="85"/>
      <c r="F983" s="85"/>
    </row>
    <row r="984">
      <c r="A984" s="85"/>
      <c r="B984" s="85"/>
      <c r="C984" s="85"/>
      <c r="D984" s="85"/>
      <c r="E984" s="85"/>
      <c r="F984" s="85"/>
    </row>
    <row r="985">
      <c r="A985" s="85"/>
      <c r="B985" s="85"/>
      <c r="C985" s="85"/>
      <c r="D985" s="85"/>
      <c r="E985" s="85"/>
      <c r="F985" s="85"/>
    </row>
    <row r="986">
      <c r="A986" s="85"/>
      <c r="B986" s="85"/>
      <c r="C986" s="85"/>
      <c r="D986" s="85"/>
      <c r="E986" s="85"/>
      <c r="F986" s="85"/>
    </row>
    <row r="987">
      <c r="A987" s="85"/>
      <c r="B987" s="85"/>
      <c r="C987" s="85"/>
      <c r="D987" s="85"/>
      <c r="E987" s="85"/>
      <c r="F987" s="85"/>
    </row>
    <row r="988">
      <c r="A988" s="85"/>
      <c r="B988" s="85"/>
      <c r="C988" s="85"/>
      <c r="D988" s="85"/>
      <c r="E988" s="85"/>
      <c r="F988" s="85"/>
    </row>
    <row r="989">
      <c r="A989" s="85"/>
      <c r="B989" s="85"/>
      <c r="C989" s="85"/>
      <c r="D989" s="85"/>
      <c r="E989" s="85"/>
      <c r="F989" s="85"/>
    </row>
    <row r="990">
      <c r="A990" s="85"/>
      <c r="B990" s="85"/>
      <c r="C990" s="85"/>
      <c r="D990" s="85"/>
      <c r="E990" s="85"/>
      <c r="F990" s="85"/>
    </row>
    <row r="991">
      <c r="A991" s="85"/>
      <c r="B991" s="85"/>
      <c r="C991" s="85"/>
      <c r="D991" s="85"/>
      <c r="E991" s="85"/>
      <c r="F991" s="85"/>
    </row>
    <row r="992">
      <c r="A992" s="85"/>
      <c r="B992" s="85"/>
      <c r="C992" s="85"/>
      <c r="D992" s="85"/>
      <c r="E992" s="85"/>
      <c r="F992" s="85"/>
    </row>
    <row r="993">
      <c r="A993" s="85"/>
      <c r="B993" s="85"/>
      <c r="C993" s="85"/>
      <c r="D993" s="85"/>
      <c r="E993" s="85"/>
      <c r="F993" s="85"/>
    </row>
    <row r="994">
      <c r="B994" s="85"/>
      <c r="C994" s="85"/>
      <c r="D994" s="85"/>
      <c r="E994" s="85"/>
      <c r="F994" s="85"/>
    </row>
    <row r="995">
      <c r="B995" s="85"/>
      <c r="C995" s="85"/>
      <c r="D995" s="85"/>
      <c r="E995" s="85"/>
      <c r="F995" s="85"/>
    </row>
    <row r="996">
      <c r="B996" s="85"/>
      <c r="C996" s="85"/>
      <c r="D996" s="85"/>
      <c r="E996" s="85"/>
      <c r="F996" s="85"/>
    </row>
    <row r="997">
      <c r="B997" s="85"/>
      <c r="C997" s="85"/>
      <c r="D997" s="85"/>
      <c r="E997" s="85"/>
      <c r="F997" s="85"/>
    </row>
    <row r="998">
      <c r="B998" s="85"/>
      <c r="C998" s="85"/>
      <c r="D998" s="85"/>
      <c r="E998" s="85"/>
      <c r="F998" s="85"/>
    </row>
    <row r="999">
      <c r="B999" s="85"/>
      <c r="C999" s="85"/>
      <c r="D999" s="85"/>
      <c r="E999" s="85"/>
      <c r="F999" s="85"/>
    </row>
    <row r="1000">
      <c r="B1000" s="85"/>
      <c r="C1000" s="85"/>
      <c r="D1000" s="85"/>
      <c r="E1000" s="85"/>
      <c r="F1000" s="8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5" max="5" width="17.0"/>
    <col customWidth="1" min="6" max="6" width="14.25"/>
  </cols>
  <sheetData>
    <row r="1">
      <c r="A1" s="85" t="str">
        <f t="array" ref="A1">#REF!</f>
        <v>#REF!</v>
      </c>
      <c r="B1" s="85" t="str">
        <f>IFERROR(__xludf.DUMMYFUNCTION("BYROW(A1:A1000, LAMBDA(x, TRANSPOSE(UNIQUE(FILTER(Categorias!$F$22:$F$1000, Categorias!$E$22:$E$1000=x)))))"),"#N/A")</f>
        <v>#N/A</v>
      </c>
      <c r="C1" s="85"/>
      <c r="D1" s="85"/>
      <c r="E1" s="85"/>
      <c r="F1" s="85"/>
    </row>
    <row r="2">
      <c r="A2" s="85"/>
      <c r="B2" s="85"/>
      <c r="C2" s="85"/>
      <c r="D2" s="85"/>
      <c r="E2" s="85"/>
      <c r="F2" s="85"/>
    </row>
    <row r="3">
      <c r="A3" s="85"/>
      <c r="B3" s="85"/>
      <c r="C3" s="85"/>
      <c r="D3" s="85"/>
      <c r="E3" s="85"/>
      <c r="F3" s="85"/>
    </row>
    <row r="4">
      <c r="A4" s="85"/>
      <c r="B4" s="85"/>
      <c r="C4" s="85"/>
      <c r="D4" s="85"/>
      <c r="E4" s="85"/>
      <c r="F4" s="85"/>
    </row>
    <row r="5">
      <c r="A5" s="85"/>
      <c r="B5" s="85"/>
      <c r="C5" s="85"/>
      <c r="D5" s="85"/>
      <c r="E5" s="85"/>
      <c r="F5" s="85"/>
    </row>
    <row r="6">
      <c r="A6" s="85"/>
      <c r="B6" s="85"/>
      <c r="C6" s="85"/>
      <c r="D6" s="85"/>
      <c r="E6" s="85"/>
      <c r="F6" s="85"/>
    </row>
    <row r="7">
      <c r="A7" s="85"/>
      <c r="B7" s="85"/>
      <c r="C7" s="85"/>
      <c r="D7" s="85"/>
      <c r="E7" s="85"/>
      <c r="F7" s="85"/>
    </row>
    <row r="8">
      <c r="A8" s="85"/>
      <c r="B8" s="85"/>
      <c r="C8" s="85"/>
      <c r="D8" s="85"/>
      <c r="E8" s="85"/>
      <c r="F8" s="85"/>
    </row>
    <row r="9">
      <c r="A9" s="85"/>
      <c r="B9" s="85"/>
      <c r="C9" s="85"/>
      <c r="D9" s="85"/>
      <c r="E9" s="85"/>
      <c r="F9" s="85"/>
    </row>
    <row r="10">
      <c r="A10" s="85"/>
      <c r="B10" s="85"/>
      <c r="C10" s="85"/>
      <c r="D10" s="85"/>
      <c r="E10" s="85"/>
      <c r="F10" s="85"/>
    </row>
    <row r="11">
      <c r="A11" s="85"/>
      <c r="B11" s="85"/>
      <c r="C11" s="85"/>
      <c r="D11" s="85"/>
      <c r="E11" s="85"/>
      <c r="F11" s="85"/>
    </row>
    <row r="12">
      <c r="A12" s="85"/>
      <c r="B12" s="85"/>
      <c r="C12" s="85"/>
      <c r="D12" s="85"/>
      <c r="E12" s="85"/>
      <c r="F12" s="85"/>
    </row>
    <row r="13">
      <c r="A13" s="85"/>
      <c r="B13" s="85"/>
      <c r="C13" s="85"/>
      <c r="D13" s="85"/>
      <c r="E13" s="85"/>
      <c r="F13" s="85"/>
    </row>
    <row r="14">
      <c r="A14" s="85"/>
      <c r="B14" s="85"/>
      <c r="C14" s="85"/>
      <c r="D14" s="85"/>
      <c r="E14" s="85"/>
      <c r="F14" s="85"/>
    </row>
    <row r="15">
      <c r="A15" s="85"/>
      <c r="B15" s="85"/>
      <c r="C15" s="85"/>
      <c r="D15" s="85"/>
      <c r="E15" s="85"/>
      <c r="F15" s="85"/>
    </row>
    <row r="16">
      <c r="A16" s="85"/>
      <c r="B16" s="85"/>
      <c r="C16" s="85"/>
      <c r="D16" s="85"/>
      <c r="E16" s="85"/>
      <c r="F16" s="85"/>
    </row>
    <row r="17">
      <c r="A17" s="85"/>
      <c r="B17" s="85"/>
      <c r="C17" s="85"/>
      <c r="D17" s="85"/>
      <c r="E17" s="85"/>
      <c r="F17" s="85"/>
    </row>
    <row r="18">
      <c r="A18" s="85"/>
      <c r="B18" s="85"/>
      <c r="C18" s="85"/>
      <c r="D18" s="85"/>
      <c r="E18" s="85"/>
      <c r="F18" s="85"/>
    </row>
    <row r="19">
      <c r="A19" s="85"/>
      <c r="B19" s="85"/>
      <c r="C19" s="85"/>
      <c r="D19" s="85"/>
      <c r="E19" s="85"/>
      <c r="F19" s="85"/>
    </row>
    <row r="20">
      <c r="A20" s="85"/>
      <c r="B20" s="85"/>
      <c r="C20" s="85"/>
      <c r="D20" s="85"/>
      <c r="E20" s="85"/>
      <c r="F20" s="85"/>
    </row>
    <row r="21">
      <c r="A21" s="85"/>
      <c r="B21" s="85"/>
      <c r="C21" s="85"/>
      <c r="D21" s="85"/>
      <c r="E21" s="85"/>
      <c r="F21" s="85"/>
    </row>
    <row r="22">
      <c r="A22" s="85"/>
      <c r="B22" s="85"/>
      <c r="C22" s="85"/>
      <c r="D22" s="85"/>
      <c r="E22" s="85"/>
      <c r="F22" s="85"/>
    </row>
    <row r="23">
      <c r="A23" s="85"/>
      <c r="B23" s="85"/>
      <c r="C23" s="85"/>
      <c r="D23" s="85"/>
      <c r="E23" s="85"/>
      <c r="F23" s="85"/>
    </row>
    <row r="24">
      <c r="A24" s="85"/>
      <c r="B24" s="85"/>
      <c r="C24" s="85"/>
      <c r="D24" s="85"/>
      <c r="E24" s="85"/>
      <c r="F24" s="85"/>
    </row>
    <row r="25">
      <c r="A25" s="85"/>
      <c r="B25" s="85"/>
      <c r="C25" s="85"/>
      <c r="D25" s="85"/>
      <c r="E25" s="85"/>
      <c r="F25" s="85"/>
    </row>
    <row r="26">
      <c r="A26" s="85"/>
      <c r="B26" s="85"/>
      <c r="C26" s="85"/>
      <c r="D26" s="85"/>
      <c r="E26" s="85"/>
      <c r="F26" s="85"/>
    </row>
    <row r="27">
      <c r="A27" s="85"/>
      <c r="B27" s="85"/>
      <c r="C27" s="85"/>
      <c r="D27" s="85"/>
      <c r="E27" s="85"/>
      <c r="F27" s="85"/>
    </row>
    <row r="28">
      <c r="A28" s="85"/>
      <c r="B28" s="85"/>
      <c r="C28" s="85"/>
      <c r="D28" s="85"/>
      <c r="E28" s="85"/>
      <c r="F28" s="85"/>
    </row>
    <row r="29">
      <c r="A29" s="85"/>
      <c r="B29" s="85"/>
      <c r="C29" s="85"/>
      <c r="D29" s="85"/>
      <c r="E29" s="85"/>
      <c r="F29" s="85"/>
    </row>
    <row r="30">
      <c r="A30" s="85"/>
      <c r="B30" s="85"/>
      <c r="C30" s="85"/>
      <c r="D30" s="85"/>
      <c r="E30" s="85"/>
      <c r="F30" s="85"/>
    </row>
    <row r="31">
      <c r="A31" s="85"/>
      <c r="B31" s="85"/>
      <c r="C31" s="85"/>
      <c r="D31" s="85"/>
      <c r="E31" s="85"/>
      <c r="F31" s="85"/>
    </row>
    <row r="32">
      <c r="A32" s="85"/>
      <c r="B32" s="85"/>
      <c r="C32" s="85"/>
      <c r="D32" s="85"/>
      <c r="E32" s="85"/>
      <c r="F32" s="85"/>
    </row>
    <row r="33">
      <c r="A33" s="85"/>
      <c r="B33" s="85"/>
      <c r="C33" s="85"/>
      <c r="D33" s="85"/>
      <c r="E33" s="85"/>
      <c r="F33" s="85"/>
    </row>
    <row r="34">
      <c r="A34" s="85"/>
      <c r="B34" s="85"/>
      <c r="C34" s="85"/>
      <c r="D34" s="85"/>
      <c r="E34" s="85"/>
      <c r="F34" s="85"/>
    </row>
    <row r="35">
      <c r="A35" s="85"/>
      <c r="B35" s="85"/>
      <c r="C35" s="85"/>
      <c r="D35" s="85"/>
      <c r="E35" s="85"/>
      <c r="F35" s="85"/>
    </row>
    <row r="36">
      <c r="A36" s="85"/>
      <c r="B36" s="85"/>
      <c r="C36" s="85"/>
      <c r="D36" s="85"/>
      <c r="E36" s="85"/>
      <c r="F36" s="85"/>
    </row>
    <row r="37">
      <c r="A37" s="85"/>
      <c r="B37" s="85"/>
      <c r="C37" s="85"/>
      <c r="D37" s="85"/>
      <c r="E37" s="85"/>
      <c r="F37" s="85"/>
    </row>
    <row r="38">
      <c r="A38" s="85"/>
      <c r="B38" s="85"/>
      <c r="C38" s="85"/>
      <c r="D38" s="85"/>
      <c r="E38" s="85"/>
      <c r="F38" s="85"/>
    </row>
    <row r="39">
      <c r="A39" s="85"/>
      <c r="B39" s="85"/>
      <c r="C39" s="85"/>
      <c r="D39" s="85"/>
      <c r="E39" s="85"/>
      <c r="F39" s="85"/>
    </row>
    <row r="40">
      <c r="A40" s="85"/>
      <c r="B40" s="85"/>
      <c r="C40" s="85"/>
      <c r="D40" s="85"/>
      <c r="E40" s="85"/>
      <c r="F40" s="85"/>
    </row>
    <row r="41">
      <c r="A41" s="85"/>
      <c r="B41" s="85"/>
      <c r="C41" s="85"/>
      <c r="D41" s="85"/>
      <c r="E41" s="85"/>
      <c r="F41" s="85"/>
    </row>
    <row r="42">
      <c r="A42" s="85"/>
      <c r="B42" s="85"/>
      <c r="C42" s="85"/>
      <c r="D42" s="85"/>
      <c r="E42" s="85"/>
      <c r="F42" s="85"/>
    </row>
    <row r="43">
      <c r="A43" s="85"/>
      <c r="B43" s="85"/>
      <c r="C43" s="85"/>
      <c r="D43" s="85"/>
      <c r="E43" s="85"/>
      <c r="F43" s="85"/>
    </row>
    <row r="44">
      <c r="A44" s="85"/>
      <c r="B44" s="85"/>
      <c r="C44" s="85"/>
      <c r="D44" s="85"/>
      <c r="E44" s="85"/>
      <c r="F44" s="85"/>
    </row>
    <row r="45">
      <c r="A45" s="85"/>
      <c r="B45" s="85"/>
      <c r="C45" s="85"/>
      <c r="D45" s="85"/>
      <c r="E45" s="85"/>
      <c r="F45" s="85"/>
    </row>
    <row r="46">
      <c r="A46" s="85"/>
      <c r="B46" s="85"/>
      <c r="C46" s="85"/>
      <c r="D46" s="85"/>
      <c r="E46" s="85"/>
      <c r="F46" s="85"/>
    </row>
    <row r="47">
      <c r="A47" s="85"/>
      <c r="B47" s="85"/>
      <c r="C47" s="85"/>
      <c r="D47" s="85"/>
      <c r="E47" s="85"/>
      <c r="F47" s="85"/>
    </row>
    <row r="48">
      <c r="A48" s="85"/>
      <c r="B48" s="85"/>
      <c r="C48" s="85"/>
      <c r="D48" s="85"/>
      <c r="E48" s="85"/>
      <c r="F48" s="85"/>
    </row>
    <row r="49">
      <c r="A49" s="85"/>
      <c r="B49" s="85"/>
      <c r="C49" s="85"/>
      <c r="D49" s="85"/>
      <c r="E49" s="85"/>
      <c r="F49" s="85"/>
    </row>
    <row r="50">
      <c r="A50" s="85"/>
      <c r="B50" s="85"/>
      <c r="C50" s="85"/>
      <c r="D50" s="85"/>
      <c r="E50" s="85"/>
      <c r="F50" s="85"/>
    </row>
    <row r="51">
      <c r="A51" s="85"/>
      <c r="B51" s="85"/>
      <c r="C51" s="85"/>
      <c r="D51" s="85"/>
      <c r="E51" s="85"/>
      <c r="F51" s="85"/>
    </row>
    <row r="52">
      <c r="A52" s="85"/>
      <c r="B52" s="85"/>
      <c r="C52" s="85"/>
      <c r="D52" s="85"/>
      <c r="E52" s="85"/>
      <c r="F52" s="85"/>
    </row>
    <row r="53">
      <c r="A53" s="85"/>
      <c r="B53" s="85"/>
      <c r="C53" s="85"/>
      <c r="D53" s="85"/>
      <c r="E53" s="85"/>
      <c r="F53" s="85"/>
    </row>
    <row r="54">
      <c r="A54" s="85"/>
      <c r="B54" s="85"/>
      <c r="C54" s="85"/>
      <c r="D54" s="85"/>
      <c r="E54" s="85"/>
      <c r="F54" s="85"/>
    </row>
    <row r="55">
      <c r="A55" s="85"/>
      <c r="B55" s="85"/>
      <c r="C55" s="85"/>
      <c r="D55" s="85"/>
      <c r="E55" s="85"/>
      <c r="F55" s="85"/>
    </row>
    <row r="56">
      <c r="A56" s="85"/>
      <c r="B56" s="85"/>
      <c r="C56" s="85"/>
      <c r="D56" s="85"/>
      <c r="E56" s="85"/>
      <c r="F56" s="85"/>
    </row>
    <row r="57">
      <c r="A57" s="85"/>
      <c r="B57" s="85"/>
      <c r="C57" s="85"/>
      <c r="D57" s="85"/>
      <c r="E57" s="85"/>
      <c r="F57" s="85"/>
    </row>
    <row r="58">
      <c r="A58" s="85"/>
      <c r="B58" s="85"/>
      <c r="C58" s="85"/>
      <c r="D58" s="85"/>
      <c r="E58" s="85"/>
      <c r="F58" s="85"/>
    </row>
    <row r="59">
      <c r="A59" s="85"/>
      <c r="B59" s="85"/>
      <c r="C59" s="85"/>
      <c r="D59" s="85"/>
      <c r="E59" s="85"/>
      <c r="F59" s="85"/>
    </row>
    <row r="60">
      <c r="A60" s="85"/>
      <c r="B60" s="85"/>
      <c r="C60" s="85"/>
      <c r="D60" s="85"/>
      <c r="E60" s="85"/>
      <c r="F60" s="85"/>
    </row>
    <row r="61">
      <c r="A61" s="85"/>
      <c r="B61" s="85"/>
      <c r="C61" s="85"/>
      <c r="D61" s="85"/>
      <c r="E61" s="85"/>
      <c r="F61" s="85"/>
    </row>
    <row r="62">
      <c r="A62" s="85"/>
      <c r="B62" s="85"/>
      <c r="C62" s="85"/>
      <c r="D62" s="85"/>
      <c r="E62" s="85"/>
      <c r="F62" s="85"/>
    </row>
    <row r="63">
      <c r="A63" s="85"/>
      <c r="B63" s="85"/>
      <c r="C63" s="85"/>
      <c r="D63" s="85"/>
      <c r="E63" s="85"/>
      <c r="F63" s="85"/>
    </row>
    <row r="64">
      <c r="A64" s="85"/>
      <c r="B64" s="85"/>
      <c r="C64" s="85"/>
      <c r="D64" s="85"/>
      <c r="E64" s="85"/>
      <c r="F64" s="85"/>
    </row>
    <row r="65">
      <c r="A65" s="85"/>
      <c r="B65" s="85"/>
      <c r="C65" s="85"/>
      <c r="D65" s="85"/>
      <c r="E65" s="85"/>
      <c r="F65" s="85"/>
    </row>
    <row r="66">
      <c r="A66" s="85"/>
      <c r="B66" s="85"/>
      <c r="C66" s="85"/>
      <c r="D66" s="85"/>
      <c r="E66" s="85"/>
      <c r="F66" s="85"/>
    </row>
    <row r="67">
      <c r="A67" s="85"/>
      <c r="B67" s="85"/>
      <c r="C67" s="85"/>
      <c r="D67" s="85"/>
      <c r="E67" s="85"/>
      <c r="F67" s="85"/>
    </row>
    <row r="68">
      <c r="A68" s="85"/>
      <c r="B68" s="85"/>
      <c r="C68" s="85"/>
      <c r="D68" s="85"/>
      <c r="E68" s="85"/>
      <c r="F68" s="85"/>
    </row>
    <row r="69">
      <c r="A69" s="85"/>
      <c r="B69" s="85"/>
      <c r="C69" s="85"/>
      <c r="D69" s="85"/>
      <c r="E69" s="85"/>
      <c r="F69" s="85"/>
    </row>
    <row r="70">
      <c r="A70" s="85"/>
      <c r="B70" s="85"/>
      <c r="C70" s="85"/>
      <c r="D70" s="85"/>
      <c r="E70" s="85"/>
      <c r="F70" s="85"/>
    </row>
    <row r="71">
      <c r="A71" s="85"/>
      <c r="B71" s="85"/>
      <c r="C71" s="85"/>
      <c r="D71" s="85"/>
      <c r="E71" s="85"/>
      <c r="F71" s="85"/>
    </row>
    <row r="72">
      <c r="A72" s="85"/>
      <c r="B72" s="85"/>
      <c r="C72" s="85"/>
      <c r="D72" s="85"/>
      <c r="E72" s="85"/>
      <c r="F72" s="85"/>
    </row>
    <row r="73">
      <c r="A73" s="85"/>
      <c r="B73" s="85"/>
      <c r="C73" s="85"/>
      <c r="D73" s="85"/>
      <c r="E73" s="85"/>
      <c r="F73" s="85"/>
    </row>
    <row r="74">
      <c r="A74" s="85"/>
      <c r="B74" s="85"/>
      <c r="C74" s="85"/>
      <c r="D74" s="85"/>
      <c r="E74" s="85"/>
      <c r="F74" s="85"/>
    </row>
    <row r="75">
      <c r="A75" s="85"/>
      <c r="B75" s="85"/>
      <c r="C75" s="85"/>
      <c r="D75" s="85"/>
      <c r="E75" s="85"/>
      <c r="F75" s="85"/>
    </row>
    <row r="76">
      <c r="A76" s="85"/>
      <c r="B76" s="85"/>
      <c r="C76" s="85"/>
      <c r="D76" s="85"/>
      <c r="E76" s="85"/>
      <c r="F76" s="85"/>
    </row>
    <row r="77">
      <c r="A77" s="85"/>
      <c r="B77" s="85"/>
      <c r="C77" s="85"/>
      <c r="D77" s="85"/>
      <c r="E77" s="85"/>
      <c r="F77" s="85"/>
    </row>
    <row r="78">
      <c r="A78" s="85"/>
      <c r="B78" s="85"/>
      <c r="C78" s="85"/>
      <c r="D78" s="85"/>
      <c r="E78" s="85"/>
      <c r="F78" s="85"/>
    </row>
    <row r="79">
      <c r="A79" s="85"/>
      <c r="B79" s="85"/>
      <c r="C79" s="85"/>
      <c r="D79" s="85"/>
      <c r="E79" s="85"/>
      <c r="F79" s="85"/>
    </row>
    <row r="80">
      <c r="A80" s="85"/>
      <c r="B80" s="85"/>
      <c r="C80" s="85"/>
      <c r="D80" s="85"/>
      <c r="E80" s="85"/>
      <c r="F80" s="85"/>
    </row>
    <row r="81">
      <c r="A81" s="85"/>
      <c r="B81" s="85"/>
      <c r="C81" s="85"/>
      <c r="D81" s="85"/>
      <c r="E81" s="85"/>
      <c r="F81" s="85"/>
    </row>
    <row r="82">
      <c r="A82" s="85"/>
      <c r="B82" s="85"/>
      <c r="C82" s="85"/>
      <c r="D82" s="85"/>
      <c r="E82" s="85"/>
      <c r="F82" s="85"/>
    </row>
    <row r="83">
      <c r="A83" s="85"/>
      <c r="B83" s="85"/>
      <c r="C83" s="85"/>
      <c r="D83" s="85"/>
      <c r="E83" s="85"/>
      <c r="F83" s="85"/>
    </row>
    <row r="84">
      <c r="A84" s="85"/>
      <c r="B84" s="85"/>
      <c r="C84" s="85"/>
      <c r="D84" s="85"/>
      <c r="E84" s="85"/>
      <c r="F84" s="85"/>
    </row>
    <row r="85">
      <c r="A85" s="85"/>
      <c r="B85" s="85"/>
      <c r="C85" s="85"/>
      <c r="D85" s="85"/>
      <c r="E85" s="85"/>
      <c r="F85" s="85"/>
    </row>
    <row r="86">
      <c r="A86" s="85"/>
      <c r="B86" s="85"/>
      <c r="C86" s="85"/>
      <c r="D86" s="85"/>
      <c r="E86" s="85"/>
      <c r="F86" s="85"/>
    </row>
    <row r="87">
      <c r="A87" s="85"/>
      <c r="B87" s="85"/>
      <c r="C87" s="85"/>
      <c r="D87" s="85"/>
      <c r="E87" s="85"/>
      <c r="F87" s="85"/>
    </row>
    <row r="88">
      <c r="A88" s="85"/>
      <c r="B88" s="85"/>
      <c r="C88" s="85"/>
      <c r="D88" s="85"/>
      <c r="E88" s="85"/>
      <c r="F88" s="85"/>
    </row>
    <row r="89">
      <c r="A89" s="85"/>
      <c r="B89" s="85"/>
      <c r="C89" s="85"/>
      <c r="D89" s="85"/>
      <c r="E89" s="85"/>
      <c r="F89" s="85"/>
    </row>
    <row r="90">
      <c r="A90" s="85"/>
      <c r="B90" s="85"/>
      <c r="C90" s="85"/>
      <c r="D90" s="85"/>
      <c r="E90" s="85"/>
      <c r="F90" s="85"/>
    </row>
    <row r="91">
      <c r="A91" s="85"/>
      <c r="B91" s="85"/>
      <c r="C91" s="85"/>
      <c r="D91" s="85"/>
      <c r="E91" s="85"/>
      <c r="F91" s="85"/>
    </row>
    <row r="92">
      <c r="A92" s="85"/>
      <c r="B92" s="85"/>
      <c r="C92" s="85"/>
      <c r="D92" s="85"/>
      <c r="E92" s="85"/>
      <c r="F92" s="85"/>
    </row>
    <row r="93">
      <c r="A93" s="85"/>
      <c r="B93" s="85"/>
      <c r="C93" s="85"/>
      <c r="D93" s="85"/>
      <c r="E93" s="85"/>
      <c r="F93" s="85"/>
    </row>
    <row r="94">
      <c r="A94" s="85"/>
      <c r="B94" s="85"/>
      <c r="C94" s="85"/>
      <c r="D94" s="85"/>
      <c r="E94" s="85"/>
      <c r="F94" s="85"/>
    </row>
    <row r="95">
      <c r="A95" s="85"/>
      <c r="B95" s="85"/>
      <c r="C95" s="85"/>
      <c r="D95" s="85"/>
      <c r="E95" s="85"/>
      <c r="F95" s="85"/>
    </row>
    <row r="96">
      <c r="A96" s="85"/>
      <c r="B96" s="85"/>
      <c r="C96" s="85"/>
      <c r="D96" s="85"/>
      <c r="E96" s="85"/>
      <c r="F96" s="85"/>
    </row>
    <row r="97">
      <c r="A97" s="85"/>
      <c r="B97" s="85"/>
      <c r="C97" s="85"/>
      <c r="D97" s="85"/>
      <c r="E97" s="85"/>
      <c r="F97" s="85"/>
    </row>
    <row r="98">
      <c r="A98" s="85"/>
      <c r="B98" s="85"/>
      <c r="C98" s="85"/>
      <c r="D98" s="85"/>
      <c r="E98" s="85"/>
      <c r="F98" s="85"/>
    </row>
    <row r="99">
      <c r="A99" s="85"/>
      <c r="B99" s="85"/>
      <c r="C99" s="85"/>
      <c r="D99" s="85"/>
      <c r="E99" s="85"/>
      <c r="F99" s="85"/>
    </row>
    <row r="100">
      <c r="A100" s="85"/>
      <c r="B100" s="85"/>
      <c r="C100" s="85"/>
      <c r="D100" s="85"/>
      <c r="E100" s="85"/>
      <c r="F100" s="85"/>
    </row>
    <row r="101">
      <c r="A101" s="85"/>
      <c r="B101" s="85"/>
      <c r="C101" s="85"/>
      <c r="D101" s="85"/>
      <c r="E101" s="85"/>
      <c r="F101" s="85"/>
    </row>
    <row r="102">
      <c r="A102" s="85"/>
      <c r="B102" s="85"/>
      <c r="C102" s="85"/>
      <c r="D102" s="85"/>
      <c r="E102" s="85"/>
      <c r="F102" s="85"/>
    </row>
    <row r="103">
      <c r="A103" s="85"/>
      <c r="B103" s="85"/>
      <c r="C103" s="85"/>
      <c r="D103" s="85"/>
      <c r="E103" s="85"/>
      <c r="F103" s="85"/>
    </row>
    <row r="104">
      <c r="A104" s="85"/>
      <c r="B104" s="85"/>
      <c r="C104" s="85"/>
      <c r="D104" s="85"/>
      <c r="E104" s="85"/>
      <c r="F104" s="85"/>
    </row>
    <row r="105">
      <c r="A105" s="85"/>
      <c r="B105" s="85"/>
      <c r="C105" s="85"/>
      <c r="D105" s="85"/>
      <c r="E105" s="85"/>
      <c r="F105" s="85"/>
    </row>
    <row r="106">
      <c r="A106" s="85"/>
      <c r="B106" s="85"/>
      <c r="C106" s="85"/>
      <c r="D106" s="85"/>
      <c r="E106" s="85"/>
      <c r="F106" s="85"/>
    </row>
    <row r="107">
      <c r="A107" s="85"/>
      <c r="B107" s="85"/>
      <c r="C107" s="85"/>
      <c r="D107" s="85"/>
      <c r="E107" s="85"/>
      <c r="F107" s="85"/>
    </row>
    <row r="108">
      <c r="A108" s="85"/>
      <c r="B108" s="85"/>
      <c r="C108" s="85"/>
      <c r="D108" s="85"/>
      <c r="E108" s="85"/>
      <c r="F108" s="85"/>
    </row>
    <row r="109">
      <c r="A109" s="85"/>
      <c r="B109" s="85"/>
      <c r="C109" s="85"/>
      <c r="D109" s="85"/>
      <c r="E109" s="85"/>
      <c r="F109" s="85"/>
    </row>
    <row r="110">
      <c r="A110" s="85"/>
      <c r="B110" s="85"/>
      <c r="C110" s="85"/>
      <c r="D110" s="85"/>
      <c r="E110" s="85"/>
      <c r="F110" s="85"/>
    </row>
    <row r="111">
      <c r="A111" s="85"/>
      <c r="B111" s="85"/>
      <c r="C111" s="85"/>
      <c r="D111" s="85"/>
      <c r="E111" s="85"/>
      <c r="F111" s="85"/>
    </row>
    <row r="112">
      <c r="A112" s="85"/>
      <c r="B112" s="85"/>
      <c r="C112" s="85"/>
      <c r="D112" s="85"/>
      <c r="E112" s="85"/>
      <c r="F112" s="85"/>
    </row>
    <row r="113">
      <c r="A113" s="85"/>
      <c r="B113" s="85"/>
      <c r="C113" s="85"/>
      <c r="D113" s="85"/>
      <c r="E113" s="85"/>
      <c r="F113" s="85"/>
    </row>
    <row r="114">
      <c r="A114" s="85"/>
      <c r="B114" s="85"/>
      <c r="C114" s="85"/>
      <c r="D114" s="85"/>
      <c r="E114" s="85"/>
      <c r="F114" s="85"/>
    </row>
    <row r="115">
      <c r="A115" s="85"/>
      <c r="B115" s="85"/>
      <c r="C115" s="85"/>
      <c r="D115" s="85"/>
      <c r="E115" s="85"/>
      <c r="F115" s="85"/>
    </row>
    <row r="116">
      <c r="A116" s="85"/>
      <c r="B116" s="85"/>
      <c r="C116" s="85"/>
      <c r="D116" s="85"/>
      <c r="E116" s="85"/>
      <c r="F116" s="85"/>
    </row>
    <row r="117">
      <c r="A117" s="85"/>
      <c r="B117" s="85"/>
      <c r="C117" s="85"/>
      <c r="D117" s="85"/>
      <c r="E117" s="85"/>
      <c r="F117" s="85"/>
    </row>
    <row r="118">
      <c r="A118" s="85"/>
      <c r="B118" s="85"/>
      <c r="C118" s="85"/>
      <c r="D118" s="85"/>
      <c r="E118" s="85"/>
      <c r="F118" s="85"/>
    </row>
    <row r="119">
      <c r="A119" s="85"/>
      <c r="B119" s="85"/>
      <c r="C119" s="85"/>
      <c r="D119" s="85"/>
      <c r="E119" s="85"/>
      <c r="F119" s="85"/>
    </row>
    <row r="120">
      <c r="A120" s="85"/>
      <c r="B120" s="85"/>
      <c r="C120" s="85"/>
      <c r="D120" s="85"/>
      <c r="E120" s="85"/>
      <c r="F120" s="85"/>
    </row>
    <row r="121">
      <c r="A121" s="85"/>
      <c r="B121" s="85"/>
      <c r="C121" s="85"/>
      <c r="D121" s="85"/>
      <c r="E121" s="85"/>
      <c r="F121" s="85"/>
    </row>
    <row r="122">
      <c r="A122" s="85"/>
      <c r="B122" s="85"/>
      <c r="C122" s="85"/>
      <c r="D122" s="85"/>
      <c r="E122" s="85"/>
      <c r="F122" s="85"/>
    </row>
    <row r="123">
      <c r="A123" s="85"/>
      <c r="B123" s="85"/>
      <c r="C123" s="85"/>
      <c r="D123" s="85"/>
      <c r="E123" s="85"/>
      <c r="F123" s="85"/>
    </row>
    <row r="124">
      <c r="A124" s="85"/>
      <c r="B124" s="85"/>
      <c r="C124" s="85"/>
      <c r="D124" s="85"/>
      <c r="E124" s="85"/>
      <c r="F124" s="85"/>
    </row>
    <row r="125">
      <c r="A125" s="85"/>
      <c r="B125" s="85"/>
      <c r="C125" s="85"/>
      <c r="D125" s="85"/>
      <c r="E125" s="85"/>
      <c r="F125" s="85"/>
    </row>
    <row r="126">
      <c r="A126" s="85"/>
      <c r="B126" s="85"/>
      <c r="C126" s="85"/>
      <c r="D126" s="85"/>
      <c r="E126" s="85"/>
      <c r="F126" s="85"/>
    </row>
    <row r="127">
      <c r="A127" s="85"/>
      <c r="B127" s="85"/>
      <c r="C127" s="85"/>
      <c r="D127" s="85"/>
      <c r="E127" s="85"/>
      <c r="F127" s="85"/>
    </row>
    <row r="128">
      <c r="A128" s="85"/>
      <c r="B128" s="85"/>
      <c r="C128" s="85"/>
      <c r="D128" s="85"/>
      <c r="E128" s="85"/>
      <c r="F128" s="85"/>
    </row>
    <row r="129">
      <c r="A129" s="85"/>
      <c r="B129" s="85"/>
      <c r="C129" s="85"/>
      <c r="D129" s="85"/>
      <c r="E129" s="85"/>
      <c r="F129" s="85"/>
    </row>
    <row r="130">
      <c r="A130" s="85"/>
      <c r="B130" s="85"/>
      <c r="C130" s="85"/>
      <c r="D130" s="85"/>
      <c r="E130" s="85"/>
      <c r="F130" s="85"/>
    </row>
    <row r="131">
      <c r="A131" s="85"/>
      <c r="B131" s="85"/>
      <c r="C131" s="85"/>
      <c r="D131" s="85"/>
      <c r="E131" s="85"/>
      <c r="F131" s="85"/>
    </row>
    <row r="132">
      <c r="A132" s="85"/>
      <c r="B132" s="85"/>
      <c r="C132" s="85"/>
      <c r="D132" s="85"/>
      <c r="E132" s="85"/>
      <c r="F132" s="85"/>
    </row>
    <row r="133">
      <c r="A133" s="85"/>
      <c r="B133" s="85"/>
      <c r="C133" s="85"/>
      <c r="D133" s="85"/>
      <c r="E133" s="85"/>
      <c r="F133" s="85"/>
    </row>
    <row r="134">
      <c r="A134" s="85"/>
      <c r="B134" s="85"/>
      <c r="C134" s="85"/>
      <c r="D134" s="85"/>
      <c r="E134" s="85"/>
      <c r="F134" s="85"/>
    </row>
    <row r="135">
      <c r="A135" s="85"/>
      <c r="B135" s="85"/>
      <c r="C135" s="85"/>
      <c r="D135" s="85"/>
      <c r="E135" s="85"/>
      <c r="F135" s="85"/>
    </row>
    <row r="136">
      <c r="A136" s="85"/>
      <c r="B136" s="85"/>
      <c r="C136" s="85"/>
      <c r="D136" s="85"/>
      <c r="E136" s="85"/>
      <c r="F136" s="85"/>
    </row>
    <row r="137">
      <c r="A137" s="85"/>
      <c r="B137" s="85"/>
      <c r="C137" s="85"/>
      <c r="D137" s="85"/>
      <c r="E137" s="85"/>
      <c r="F137" s="85"/>
    </row>
    <row r="138">
      <c r="A138" s="85"/>
      <c r="B138" s="85"/>
      <c r="C138" s="85"/>
      <c r="D138" s="85"/>
      <c r="E138" s="85"/>
      <c r="F138" s="85"/>
    </row>
    <row r="139">
      <c r="A139" s="85"/>
      <c r="B139" s="85"/>
      <c r="C139" s="85"/>
      <c r="D139" s="85"/>
      <c r="E139" s="85"/>
      <c r="F139" s="85"/>
    </row>
    <row r="140">
      <c r="A140" s="85"/>
      <c r="B140" s="85"/>
      <c r="C140" s="85"/>
      <c r="D140" s="85"/>
      <c r="E140" s="85"/>
      <c r="F140" s="85"/>
    </row>
    <row r="141">
      <c r="A141" s="85"/>
      <c r="B141" s="85"/>
      <c r="C141" s="85"/>
      <c r="D141" s="85"/>
      <c r="E141" s="85"/>
      <c r="F141" s="85"/>
    </row>
    <row r="142">
      <c r="A142" s="85"/>
      <c r="B142" s="85"/>
      <c r="C142" s="85"/>
      <c r="D142" s="85"/>
      <c r="E142" s="85"/>
      <c r="F142" s="85"/>
    </row>
    <row r="143">
      <c r="A143" s="85"/>
      <c r="B143" s="85"/>
      <c r="C143" s="85"/>
      <c r="D143" s="85"/>
      <c r="E143" s="85"/>
      <c r="F143" s="85"/>
    </row>
    <row r="144">
      <c r="A144" s="85"/>
      <c r="B144" s="85"/>
      <c r="C144" s="85"/>
      <c r="D144" s="85"/>
      <c r="E144" s="85"/>
      <c r="F144" s="85"/>
    </row>
    <row r="145">
      <c r="A145" s="85"/>
      <c r="B145" s="85"/>
      <c r="C145" s="85"/>
      <c r="D145" s="85"/>
      <c r="E145" s="85"/>
      <c r="F145" s="85"/>
    </row>
    <row r="146">
      <c r="A146" s="85"/>
      <c r="B146" s="85"/>
      <c r="C146" s="85"/>
      <c r="D146" s="85"/>
      <c r="E146" s="85"/>
      <c r="F146" s="85"/>
    </row>
    <row r="147">
      <c r="A147" s="85"/>
      <c r="B147" s="85"/>
      <c r="C147" s="85"/>
      <c r="D147" s="85"/>
      <c r="E147" s="85"/>
      <c r="F147" s="85"/>
    </row>
    <row r="148">
      <c r="A148" s="85"/>
      <c r="B148" s="85"/>
      <c r="C148" s="85"/>
      <c r="D148" s="85"/>
      <c r="E148" s="85"/>
      <c r="F148" s="85"/>
    </row>
    <row r="149">
      <c r="A149" s="85"/>
      <c r="B149" s="85"/>
      <c r="C149" s="85"/>
      <c r="D149" s="85"/>
      <c r="E149" s="85"/>
      <c r="F149" s="85"/>
    </row>
    <row r="150">
      <c r="A150" s="85"/>
      <c r="B150" s="85"/>
      <c r="C150" s="85"/>
      <c r="D150" s="85"/>
      <c r="E150" s="85"/>
      <c r="F150" s="85"/>
    </row>
    <row r="151">
      <c r="A151" s="85"/>
      <c r="B151" s="85"/>
      <c r="C151" s="85"/>
      <c r="D151" s="85"/>
      <c r="E151" s="85"/>
      <c r="F151" s="85"/>
    </row>
    <row r="152">
      <c r="A152" s="85"/>
      <c r="B152" s="85"/>
      <c r="C152" s="85"/>
      <c r="D152" s="85"/>
      <c r="E152" s="85"/>
      <c r="F152" s="85"/>
    </row>
    <row r="153">
      <c r="A153" s="85"/>
      <c r="B153" s="85"/>
      <c r="C153" s="85"/>
      <c r="D153" s="85"/>
      <c r="E153" s="85"/>
      <c r="F153" s="85"/>
    </row>
    <row r="154">
      <c r="A154" s="85"/>
      <c r="B154" s="85"/>
      <c r="C154" s="85"/>
      <c r="D154" s="85"/>
      <c r="E154" s="85"/>
      <c r="F154" s="85"/>
    </row>
    <row r="155">
      <c r="A155" s="85"/>
      <c r="B155" s="85"/>
      <c r="C155" s="85"/>
      <c r="D155" s="85"/>
      <c r="E155" s="85"/>
      <c r="F155" s="85"/>
    </row>
    <row r="156">
      <c r="A156" s="85"/>
      <c r="B156" s="85"/>
      <c r="C156" s="85"/>
      <c r="D156" s="85"/>
      <c r="E156" s="85"/>
      <c r="F156" s="85"/>
    </row>
    <row r="157">
      <c r="A157" s="85"/>
      <c r="B157" s="85"/>
      <c r="C157" s="85"/>
      <c r="D157" s="85"/>
      <c r="E157" s="85"/>
      <c r="F157" s="85"/>
    </row>
    <row r="158">
      <c r="A158" s="85"/>
      <c r="B158" s="85"/>
      <c r="C158" s="85"/>
      <c r="D158" s="85"/>
      <c r="E158" s="85"/>
      <c r="F158" s="85"/>
    </row>
    <row r="159">
      <c r="A159" s="85"/>
      <c r="B159" s="85"/>
      <c r="C159" s="85"/>
      <c r="D159" s="85"/>
      <c r="E159" s="85"/>
      <c r="F159" s="85"/>
    </row>
    <row r="160">
      <c r="A160" s="85"/>
      <c r="B160" s="85"/>
      <c r="C160" s="85"/>
      <c r="D160" s="85"/>
      <c r="E160" s="85"/>
      <c r="F160" s="85"/>
    </row>
    <row r="161">
      <c r="A161" s="85"/>
      <c r="B161" s="85"/>
      <c r="C161" s="85"/>
      <c r="D161" s="85"/>
      <c r="E161" s="85"/>
      <c r="F161" s="85"/>
    </row>
    <row r="162">
      <c r="A162" s="85"/>
      <c r="B162" s="85"/>
      <c r="C162" s="85"/>
      <c r="D162" s="85"/>
      <c r="E162" s="85"/>
      <c r="F162" s="85"/>
    </row>
    <row r="163">
      <c r="A163" s="85"/>
      <c r="B163" s="85"/>
      <c r="C163" s="85"/>
      <c r="D163" s="85"/>
      <c r="E163" s="85"/>
      <c r="F163" s="85"/>
    </row>
    <row r="164">
      <c r="A164" s="85"/>
      <c r="B164" s="85"/>
      <c r="C164" s="85"/>
      <c r="D164" s="85"/>
      <c r="E164" s="85"/>
      <c r="F164" s="85"/>
    </row>
    <row r="165">
      <c r="A165" s="85"/>
      <c r="B165" s="85"/>
      <c r="C165" s="85"/>
      <c r="D165" s="85"/>
      <c r="E165" s="85"/>
      <c r="F165" s="85"/>
    </row>
    <row r="166">
      <c r="A166" s="85"/>
      <c r="B166" s="85"/>
      <c r="C166" s="85"/>
      <c r="D166" s="85"/>
      <c r="E166" s="85"/>
      <c r="F166" s="85"/>
    </row>
    <row r="167">
      <c r="A167" s="85"/>
      <c r="B167" s="85"/>
      <c r="C167" s="85"/>
      <c r="D167" s="85"/>
      <c r="E167" s="85"/>
      <c r="F167" s="85"/>
    </row>
    <row r="168">
      <c r="A168" s="85"/>
      <c r="B168" s="85"/>
      <c r="C168" s="85"/>
      <c r="D168" s="85"/>
      <c r="E168" s="85"/>
      <c r="F168" s="85"/>
    </row>
    <row r="169">
      <c r="A169" s="85"/>
      <c r="B169" s="85"/>
      <c r="C169" s="85"/>
      <c r="D169" s="85"/>
      <c r="E169" s="85"/>
      <c r="F169" s="85"/>
    </row>
    <row r="170">
      <c r="A170" s="85"/>
      <c r="B170" s="85"/>
      <c r="C170" s="85"/>
      <c r="D170" s="85"/>
      <c r="E170" s="85"/>
      <c r="F170" s="85"/>
    </row>
    <row r="171">
      <c r="A171" s="85"/>
      <c r="B171" s="85"/>
      <c r="C171" s="85"/>
      <c r="D171" s="85"/>
      <c r="E171" s="85"/>
      <c r="F171" s="85"/>
    </row>
    <row r="172">
      <c r="A172" s="85"/>
      <c r="B172" s="85"/>
      <c r="C172" s="85"/>
      <c r="D172" s="85"/>
      <c r="E172" s="85"/>
      <c r="F172" s="85"/>
    </row>
    <row r="173">
      <c r="A173" s="85"/>
      <c r="B173" s="85"/>
      <c r="C173" s="85"/>
      <c r="D173" s="85"/>
      <c r="E173" s="85"/>
      <c r="F173" s="85"/>
    </row>
    <row r="174">
      <c r="A174" s="85"/>
      <c r="B174" s="85"/>
      <c r="C174" s="85"/>
      <c r="D174" s="85"/>
      <c r="E174" s="85"/>
      <c r="F174" s="85"/>
    </row>
    <row r="175">
      <c r="A175" s="85"/>
      <c r="B175" s="85"/>
      <c r="C175" s="85"/>
      <c r="D175" s="85"/>
      <c r="E175" s="85"/>
      <c r="F175" s="85"/>
    </row>
    <row r="176">
      <c r="A176" s="85"/>
      <c r="B176" s="85"/>
      <c r="C176" s="85"/>
      <c r="D176" s="85"/>
      <c r="E176" s="85"/>
      <c r="F176" s="85"/>
    </row>
    <row r="177">
      <c r="A177" s="85"/>
      <c r="B177" s="85"/>
      <c r="C177" s="85"/>
      <c r="D177" s="85"/>
      <c r="E177" s="85"/>
      <c r="F177" s="85"/>
    </row>
    <row r="178">
      <c r="A178" s="85"/>
      <c r="B178" s="85"/>
      <c r="C178" s="85"/>
      <c r="D178" s="85"/>
      <c r="E178" s="85"/>
      <c r="F178" s="85"/>
    </row>
    <row r="179">
      <c r="A179" s="85"/>
      <c r="B179" s="85"/>
      <c r="C179" s="85"/>
      <c r="D179" s="85"/>
      <c r="E179" s="85"/>
      <c r="F179" s="85"/>
    </row>
    <row r="180">
      <c r="A180" s="85"/>
      <c r="B180" s="85"/>
      <c r="C180" s="85"/>
      <c r="D180" s="85"/>
      <c r="E180" s="85"/>
      <c r="F180" s="85"/>
    </row>
    <row r="181">
      <c r="A181" s="85"/>
      <c r="B181" s="85"/>
      <c r="C181" s="85"/>
      <c r="D181" s="85"/>
      <c r="E181" s="85"/>
      <c r="F181" s="85"/>
    </row>
    <row r="182">
      <c r="A182" s="85"/>
      <c r="B182" s="85"/>
      <c r="C182" s="85"/>
      <c r="D182" s="85"/>
      <c r="E182" s="85"/>
      <c r="F182" s="85"/>
    </row>
    <row r="183">
      <c r="A183" s="85"/>
      <c r="B183" s="85"/>
      <c r="C183" s="85"/>
      <c r="D183" s="85"/>
      <c r="E183" s="85"/>
      <c r="F183" s="85"/>
    </row>
    <row r="184">
      <c r="A184" s="85"/>
      <c r="B184" s="85"/>
      <c r="C184" s="85"/>
      <c r="D184" s="85"/>
      <c r="E184" s="85"/>
      <c r="F184" s="85"/>
    </row>
    <row r="185">
      <c r="A185" s="85"/>
      <c r="B185" s="85"/>
      <c r="C185" s="85"/>
      <c r="D185" s="85"/>
      <c r="E185" s="85"/>
      <c r="F185" s="85"/>
    </row>
    <row r="186">
      <c r="A186" s="85"/>
      <c r="B186" s="85"/>
      <c r="C186" s="85"/>
      <c r="D186" s="85"/>
      <c r="E186" s="85"/>
      <c r="F186" s="85"/>
    </row>
    <row r="187">
      <c r="A187" s="85"/>
      <c r="B187" s="85"/>
      <c r="C187" s="85"/>
      <c r="D187" s="85"/>
      <c r="E187" s="85"/>
      <c r="F187" s="85"/>
    </row>
    <row r="188">
      <c r="A188" s="85"/>
      <c r="B188" s="85"/>
      <c r="C188" s="85"/>
      <c r="D188" s="85"/>
      <c r="E188" s="85"/>
      <c r="F188" s="85"/>
    </row>
    <row r="189">
      <c r="A189" s="85"/>
      <c r="B189" s="85"/>
      <c r="C189" s="85"/>
      <c r="D189" s="85"/>
      <c r="E189" s="85"/>
      <c r="F189" s="85"/>
    </row>
    <row r="190">
      <c r="A190" s="85"/>
      <c r="B190" s="85"/>
      <c r="C190" s="85"/>
      <c r="D190" s="85"/>
      <c r="E190" s="85"/>
      <c r="F190" s="85"/>
    </row>
    <row r="191">
      <c r="A191" s="85"/>
      <c r="B191" s="85"/>
      <c r="C191" s="85"/>
      <c r="D191" s="85"/>
      <c r="E191" s="85"/>
      <c r="F191" s="85"/>
    </row>
    <row r="192">
      <c r="A192" s="85"/>
      <c r="B192" s="85"/>
      <c r="C192" s="85"/>
      <c r="D192" s="85"/>
      <c r="E192" s="85"/>
      <c r="F192" s="85"/>
    </row>
    <row r="193">
      <c r="A193" s="85"/>
      <c r="B193" s="85"/>
      <c r="C193" s="85"/>
      <c r="D193" s="85"/>
      <c r="E193" s="85"/>
      <c r="F193" s="85"/>
    </row>
    <row r="194">
      <c r="A194" s="85"/>
      <c r="B194" s="85"/>
      <c r="C194" s="85"/>
      <c r="D194" s="85"/>
      <c r="E194" s="85"/>
      <c r="F194" s="85"/>
    </row>
    <row r="195">
      <c r="A195" s="85"/>
      <c r="B195" s="85"/>
      <c r="C195" s="85"/>
      <c r="D195" s="85"/>
      <c r="E195" s="85"/>
      <c r="F195" s="85"/>
    </row>
    <row r="196">
      <c r="A196" s="85"/>
      <c r="B196" s="85"/>
      <c r="C196" s="85"/>
      <c r="D196" s="85"/>
      <c r="E196" s="85"/>
      <c r="F196" s="85"/>
    </row>
    <row r="197">
      <c r="A197" s="85"/>
      <c r="B197" s="85"/>
      <c r="C197" s="85"/>
      <c r="D197" s="85"/>
      <c r="E197" s="85"/>
      <c r="F197" s="85"/>
    </row>
    <row r="198">
      <c r="A198" s="85"/>
      <c r="B198" s="85"/>
      <c r="C198" s="85"/>
      <c r="D198" s="85"/>
      <c r="E198" s="85"/>
      <c r="F198" s="85"/>
    </row>
    <row r="199">
      <c r="A199" s="85"/>
      <c r="B199" s="85"/>
      <c r="C199" s="85"/>
      <c r="D199" s="85"/>
      <c r="E199" s="85"/>
      <c r="F199" s="85"/>
    </row>
    <row r="200">
      <c r="A200" s="85"/>
      <c r="B200" s="85"/>
      <c r="C200" s="85"/>
      <c r="D200" s="85"/>
      <c r="E200" s="85"/>
      <c r="F200" s="85"/>
    </row>
    <row r="201">
      <c r="A201" s="85"/>
      <c r="B201" s="85"/>
      <c r="C201" s="85"/>
      <c r="D201" s="85"/>
      <c r="E201" s="85"/>
      <c r="F201" s="85"/>
    </row>
    <row r="202">
      <c r="A202" s="85"/>
      <c r="B202" s="85"/>
      <c r="C202" s="85"/>
      <c r="D202" s="85"/>
      <c r="E202" s="85"/>
      <c r="F202" s="85"/>
    </row>
    <row r="203">
      <c r="A203" s="85"/>
      <c r="B203" s="85"/>
      <c r="C203" s="85"/>
      <c r="D203" s="85"/>
      <c r="E203" s="85"/>
      <c r="F203" s="85"/>
    </row>
    <row r="204">
      <c r="A204" s="85"/>
      <c r="B204" s="85"/>
      <c r="C204" s="85"/>
      <c r="D204" s="85"/>
      <c r="E204" s="85"/>
      <c r="F204" s="85"/>
    </row>
    <row r="205">
      <c r="A205" s="85"/>
      <c r="B205" s="85"/>
      <c r="C205" s="85"/>
      <c r="D205" s="85"/>
      <c r="E205" s="85"/>
      <c r="F205" s="85"/>
    </row>
    <row r="206">
      <c r="A206" s="85"/>
      <c r="B206" s="85"/>
      <c r="C206" s="85"/>
      <c r="D206" s="85"/>
      <c r="E206" s="85"/>
      <c r="F206" s="85"/>
    </row>
    <row r="207">
      <c r="A207" s="85"/>
      <c r="B207" s="85"/>
      <c r="C207" s="85"/>
      <c r="D207" s="85"/>
      <c r="E207" s="85"/>
      <c r="F207" s="85"/>
    </row>
    <row r="208">
      <c r="A208" s="85"/>
      <c r="B208" s="85"/>
      <c r="C208" s="85"/>
      <c r="D208" s="85"/>
      <c r="E208" s="85"/>
      <c r="F208" s="85"/>
    </row>
    <row r="209">
      <c r="A209" s="85"/>
      <c r="B209" s="85"/>
      <c r="C209" s="85"/>
      <c r="D209" s="85"/>
      <c r="E209" s="85"/>
      <c r="F209" s="85"/>
    </row>
    <row r="210">
      <c r="A210" s="85"/>
      <c r="B210" s="85"/>
      <c r="C210" s="85"/>
      <c r="D210" s="85"/>
      <c r="E210" s="85"/>
      <c r="F210" s="85"/>
    </row>
    <row r="211">
      <c r="A211" s="85"/>
      <c r="B211" s="85"/>
      <c r="C211" s="85"/>
      <c r="D211" s="85"/>
      <c r="E211" s="85"/>
      <c r="F211" s="85"/>
    </row>
    <row r="212">
      <c r="A212" s="85"/>
      <c r="B212" s="85"/>
      <c r="C212" s="85"/>
      <c r="D212" s="85"/>
      <c r="E212" s="85"/>
      <c r="F212" s="85"/>
    </row>
    <row r="213">
      <c r="A213" s="85"/>
      <c r="B213" s="85"/>
      <c r="C213" s="85"/>
      <c r="D213" s="85"/>
      <c r="E213" s="85"/>
      <c r="F213" s="85"/>
    </row>
    <row r="214">
      <c r="A214" s="85"/>
      <c r="B214" s="85"/>
      <c r="C214" s="85"/>
      <c r="D214" s="85"/>
      <c r="E214" s="85"/>
      <c r="F214" s="85"/>
    </row>
    <row r="215">
      <c r="A215" s="85"/>
      <c r="B215" s="85"/>
      <c r="C215" s="85"/>
      <c r="D215" s="85"/>
      <c r="E215" s="85"/>
      <c r="F215" s="85"/>
    </row>
    <row r="216">
      <c r="A216" s="85"/>
      <c r="B216" s="85"/>
      <c r="C216" s="85"/>
      <c r="D216" s="85"/>
      <c r="E216" s="85"/>
      <c r="F216" s="85"/>
    </row>
    <row r="217">
      <c r="A217" s="85"/>
      <c r="B217" s="85"/>
      <c r="C217" s="85"/>
      <c r="D217" s="85"/>
      <c r="E217" s="85"/>
      <c r="F217" s="85"/>
    </row>
    <row r="218">
      <c r="A218" s="85"/>
      <c r="B218" s="85"/>
      <c r="C218" s="85"/>
      <c r="D218" s="85"/>
      <c r="E218" s="85"/>
      <c r="F218" s="85"/>
    </row>
    <row r="219">
      <c r="A219" s="85"/>
      <c r="B219" s="85"/>
      <c r="C219" s="85"/>
      <c r="D219" s="85"/>
      <c r="E219" s="85"/>
      <c r="F219" s="85"/>
    </row>
    <row r="220">
      <c r="A220" s="85"/>
      <c r="B220" s="85"/>
      <c r="C220" s="85"/>
      <c r="D220" s="85"/>
      <c r="E220" s="85"/>
      <c r="F220" s="85"/>
    </row>
    <row r="221">
      <c r="A221" s="85"/>
      <c r="B221" s="85"/>
      <c r="C221" s="85"/>
      <c r="D221" s="85"/>
      <c r="E221" s="85"/>
      <c r="F221" s="85"/>
    </row>
    <row r="222">
      <c r="A222" s="85"/>
      <c r="B222" s="85"/>
      <c r="C222" s="85"/>
      <c r="D222" s="85"/>
      <c r="E222" s="85"/>
      <c r="F222" s="85"/>
    </row>
    <row r="223">
      <c r="A223" s="85"/>
      <c r="B223" s="85"/>
      <c r="C223" s="85"/>
      <c r="D223" s="85"/>
      <c r="E223" s="85"/>
      <c r="F223" s="85"/>
    </row>
    <row r="224">
      <c r="A224" s="85"/>
      <c r="B224" s="85"/>
      <c r="C224" s="85"/>
      <c r="D224" s="85"/>
      <c r="E224" s="85"/>
      <c r="F224" s="85"/>
    </row>
    <row r="225">
      <c r="A225" s="85"/>
      <c r="B225" s="85"/>
      <c r="C225" s="85"/>
      <c r="D225" s="85"/>
      <c r="E225" s="85"/>
      <c r="F225" s="85"/>
    </row>
    <row r="226">
      <c r="A226" s="85"/>
      <c r="B226" s="85"/>
      <c r="C226" s="85"/>
      <c r="D226" s="85"/>
      <c r="E226" s="85"/>
      <c r="F226" s="85"/>
    </row>
    <row r="227">
      <c r="A227" s="85"/>
      <c r="B227" s="85"/>
      <c r="C227" s="85"/>
      <c r="D227" s="85"/>
      <c r="E227" s="85"/>
      <c r="F227" s="85"/>
    </row>
    <row r="228">
      <c r="A228" s="85"/>
      <c r="B228" s="85"/>
      <c r="C228" s="85"/>
      <c r="D228" s="85"/>
      <c r="E228" s="85"/>
      <c r="F228" s="85"/>
    </row>
    <row r="229">
      <c r="A229" s="85"/>
      <c r="B229" s="85"/>
      <c r="C229" s="85"/>
      <c r="D229" s="85"/>
      <c r="E229" s="85"/>
      <c r="F229" s="85"/>
    </row>
    <row r="230">
      <c r="A230" s="85"/>
      <c r="B230" s="85"/>
      <c r="C230" s="85"/>
      <c r="D230" s="85"/>
      <c r="E230" s="85"/>
      <c r="F230" s="85"/>
    </row>
    <row r="231">
      <c r="A231" s="85"/>
      <c r="B231" s="85"/>
      <c r="C231" s="85"/>
      <c r="D231" s="85"/>
      <c r="E231" s="85"/>
      <c r="F231" s="85"/>
    </row>
    <row r="232">
      <c r="A232" s="85"/>
      <c r="B232" s="85"/>
      <c r="C232" s="85"/>
      <c r="D232" s="85"/>
      <c r="E232" s="85"/>
      <c r="F232" s="85"/>
    </row>
    <row r="233">
      <c r="A233" s="85"/>
      <c r="B233" s="85"/>
      <c r="C233" s="85"/>
      <c r="D233" s="85"/>
      <c r="E233" s="85"/>
      <c r="F233" s="85"/>
    </row>
    <row r="234">
      <c r="A234" s="85"/>
      <c r="B234" s="85"/>
      <c r="C234" s="85"/>
      <c r="D234" s="85"/>
      <c r="E234" s="85"/>
      <c r="F234" s="85"/>
    </row>
    <row r="235">
      <c r="A235" s="85"/>
      <c r="B235" s="85"/>
      <c r="C235" s="85"/>
      <c r="D235" s="85"/>
      <c r="E235" s="85"/>
      <c r="F235" s="85"/>
    </row>
    <row r="236">
      <c r="A236" s="85"/>
      <c r="B236" s="85"/>
      <c r="C236" s="85"/>
      <c r="D236" s="85"/>
      <c r="E236" s="85"/>
      <c r="F236" s="85"/>
    </row>
    <row r="237">
      <c r="A237" s="85"/>
      <c r="B237" s="85"/>
      <c r="C237" s="85"/>
      <c r="D237" s="85"/>
      <c r="E237" s="85"/>
      <c r="F237" s="85"/>
    </row>
    <row r="238">
      <c r="A238" s="85"/>
      <c r="B238" s="85"/>
      <c r="C238" s="85"/>
      <c r="D238" s="85"/>
      <c r="E238" s="85"/>
      <c r="F238" s="85"/>
    </row>
    <row r="239">
      <c r="A239" s="85"/>
      <c r="B239" s="85"/>
      <c r="C239" s="85"/>
      <c r="D239" s="85"/>
      <c r="E239" s="85"/>
      <c r="F239" s="85"/>
    </row>
    <row r="240">
      <c r="A240" s="85"/>
      <c r="B240" s="85"/>
      <c r="C240" s="85"/>
      <c r="D240" s="85"/>
      <c r="E240" s="85"/>
      <c r="F240" s="85"/>
    </row>
    <row r="241">
      <c r="A241" s="85"/>
      <c r="B241" s="85"/>
      <c r="C241" s="85"/>
      <c r="D241" s="85"/>
      <c r="E241" s="85"/>
      <c r="F241" s="85"/>
    </row>
    <row r="242">
      <c r="A242" s="85"/>
      <c r="B242" s="85"/>
      <c r="C242" s="85"/>
      <c r="D242" s="85"/>
      <c r="E242" s="85"/>
      <c r="F242" s="85"/>
    </row>
    <row r="243">
      <c r="A243" s="85"/>
      <c r="B243" s="85"/>
      <c r="C243" s="85"/>
      <c r="D243" s="85"/>
      <c r="E243" s="85"/>
      <c r="F243" s="85"/>
    </row>
    <row r="244">
      <c r="A244" s="85"/>
      <c r="B244" s="85"/>
      <c r="C244" s="85"/>
      <c r="D244" s="85"/>
      <c r="E244" s="85"/>
      <c r="F244" s="85"/>
    </row>
    <row r="245">
      <c r="A245" s="85"/>
      <c r="B245" s="85"/>
      <c r="C245" s="85"/>
      <c r="D245" s="85"/>
      <c r="E245" s="85"/>
      <c r="F245" s="85"/>
    </row>
    <row r="246">
      <c r="A246" s="85"/>
      <c r="B246" s="85"/>
      <c r="C246" s="85"/>
      <c r="D246" s="85"/>
      <c r="E246" s="85"/>
      <c r="F246" s="85"/>
    </row>
    <row r="247">
      <c r="A247" s="85"/>
      <c r="B247" s="85"/>
      <c r="C247" s="85"/>
      <c r="D247" s="85"/>
      <c r="E247" s="85"/>
      <c r="F247" s="85"/>
    </row>
    <row r="248">
      <c r="A248" s="85"/>
      <c r="B248" s="85"/>
      <c r="C248" s="85"/>
      <c r="D248" s="85"/>
      <c r="E248" s="85"/>
      <c r="F248" s="85"/>
    </row>
    <row r="249">
      <c r="A249" s="85"/>
      <c r="B249" s="85"/>
      <c r="C249" s="85"/>
      <c r="D249" s="85"/>
      <c r="E249" s="85"/>
      <c r="F249" s="85"/>
    </row>
    <row r="250">
      <c r="A250" s="85"/>
      <c r="B250" s="85"/>
      <c r="C250" s="85"/>
      <c r="D250" s="85"/>
      <c r="E250" s="85"/>
      <c r="F250" s="85"/>
    </row>
    <row r="251">
      <c r="A251" s="85"/>
      <c r="B251" s="85"/>
      <c r="C251" s="85"/>
      <c r="D251" s="85"/>
      <c r="E251" s="85"/>
      <c r="F251" s="85"/>
    </row>
    <row r="252">
      <c r="A252" s="85"/>
      <c r="B252" s="85"/>
      <c r="C252" s="85"/>
      <c r="D252" s="85"/>
      <c r="E252" s="85"/>
      <c r="F252" s="85"/>
    </row>
    <row r="253">
      <c r="A253" s="85"/>
      <c r="B253" s="85"/>
      <c r="C253" s="85"/>
      <c r="D253" s="85"/>
      <c r="E253" s="85"/>
      <c r="F253" s="85"/>
    </row>
    <row r="254">
      <c r="A254" s="85"/>
      <c r="B254" s="85"/>
      <c r="C254" s="85"/>
      <c r="D254" s="85"/>
      <c r="E254" s="85"/>
      <c r="F254" s="85"/>
    </row>
    <row r="255">
      <c r="A255" s="85"/>
      <c r="B255" s="85"/>
      <c r="C255" s="85"/>
      <c r="D255" s="85"/>
      <c r="E255" s="85"/>
      <c r="F255" s="85"/>
    </row>
    <row r="256">
      <c r="A256" s="85"/>
      <c r="B256" s="85"/>
      <c r="C256" s="85"/>
      <c r="D256" s="85"/>
      <c r="E256" s="85"/>
      <c r="F256" s="85"/>
    </row>
    <row r="257">
      <c r="A257" s="85"/>
      <c r="B257" s="85"/>
      <c r="C257" s="85"/>
      <c r="D257" s="85"/>
      <c r="E257" s="85"/>
      <c r="F257" s="85"/>
    </row>
    <row r="258">
      <c r="A258" s="85"/>
      <c r="B258" s="85"/>
      <c r="C258" s="85"/>
      <c r="D258" s="85"/>
      <c r="E258" s="85"/>
      <c r="F258" s="85"/>
    </row>
    <row r="259">
      <c r="A259" s="85"/>
      <c r="B259" s="85"/>
      <c r="C259" s="85"/>
      <c r="D259" s="85"/>
      <c r="E259" s="85"/>
      <c r="F259" s="85"/>
    </row>
    <row r="260">
      <c r="A260" s="85"/>
      <c r="B260" s="85"/>
      <c r="C260" s="85"/>
      <c r="D260" s="85"/>
      <c r="E260" s="85"/>
      <c r="F260" s="85"/>
    </row>
    <row r="261">
      <c r="A261" s="85"/>
      <c r="B261" s="85"/>
      <c r="C261" s="85"/>
      <c r="D261" s="85"/>
      <c r="E261" s="85"/>
      <c r="F261" s="85"/>
    </row>
    <row r="262">
      <c r="A262" s="85"/>
      <c r="B262" s="85"/>
      <c r="C262" s="85"/>
      <c r="D262" s="85"/>
      <c r="E262" s="85"/>
      <c r="F262" s="85"/>
    </row>
    <row r="263">
      <c r="A263" s="85"/>
      <c r="B263" s="85"/>
      <c r="C263" s="85"/>
      <c r="D263" s="85"/>
      <c r="E263" s="85"/>
      <c r="F263" s="85"/>
    </row>
    <row r="264">
      <c r="A264" s="85"/>
      <c r="B264" s="85"/>
      <c r="C264" s="85"/>
      <c r="D264" s="85"/>
      <c r="E264" s="85"/>
      <c r="F264" s="85"/>
    </row>
    <row r="265">
      <c r="A265" s="85"/>
      <c r="B265" s="85"/>
      <c r="C265" s="85"/>
      <c r="D265" s="85"/>
      <c r="E265" s="85"/>
      <c r="F265" s="85"/>
    </row>
    <row r="266">
      <c r="A266" s="85"/>
      <c r="B266" s="85"/>
      <c r="C266" s="85"/>
      <c r="D266" s="85"/>
      <c r="E266" s="85"/>
      <c r="F266" s="85"/>
    </row>
    <row r="267">
      <c r="A267" s="85"/>
      <c r="B267" s="85"/>
      <c r="C267" s="85"/>
      <c r="D267" s="85"/>
      <c r="E267" s="85"/>
      <c r="F267" s="85"/>
    </row>
    <row r="268">
      <c r="A268" s="85"/>
      <c r="B268" s="85"/>
      <c r="C268" s="85"/>
      <c r="D268" s="85"/>
      <c r="E268" s="85"/>
      <c r="F268" s="85"/>
    </row>
    <row r="269">
      <c r="A269" s="85"/>
      <c r="B269" s="85"/>
      <c r="C269" s="85"/>
      <c r="D269" s="85"/>
      <c r="E269" s="85"/>
      <c r="F269" s="85"/>
    </row>
    <row r="270">
      <c r="A270" s="85"/>
      <c r="B270" s="85"/>
      <c r="C270" s="85"/>
      <c r="D270" s="85"/>
      <c r="E270" s="85"/>
      <c r="F270" s="85"/>
    </row>
    <row r="271">
      <c r="A271" s="85"/>
      <c r="B271" s="85"/>
      <c r="C271" s="85"/>
      <c r="D271" s="85"/>
      <c r="E271" s="85"/>
      <c r="F271" s="85"/>
    </row>
    <row r="272">
      <c r="A272" s="85"/>
      <c r="B272" s="85"/>
      <c r="C272" s="85"/>
      <c r="D272" s="85"/>
      <c r="E272" s="85"/>
      <c r="F272" s="85"/>
    </row>
    <row r="273">
      <c r="A273" s="85"/>
      <c r="B273" s="85"/>
      <c r="C273" s="85"/>
      <c r="D273" s="85"/>
      <c r="E273" s="85"/>
      <c r="F273" s="85"/>
    </row>
    <row r="274">
      <c r="A274" s="85"/>
      <c r="B274" s="85"/>
      <c r="C274" s="85"/>
      <c r="D274" s="85"/>
      <c r="E274" s="85"/>
      <c r="F274" s="85"/>
    </row>
    <row r="275">
      <c r="A275" s="85"/>
      <c r="B275" s="85"/>
      <c r="C275" s="85"/>
      <c r="D275" s="85"/>
      <c r="E275" s="85"/>
      <c r="F275" s="85"/>
    </row>
    <row r="276">
      <c r="A276" s="85"/>
      <c r="B276" s="85"/>
      <c r="C276" s="85"/>
      <c r="D276" s="85"/>
      <c r="E276" s="85"/>
      <c r="F276" s="85"/>
    </row>
    <row r="277">
      <c r="A277" s="85"/>
      <c r="B277" s="85"/>
      <c r="C277" s="85"/>
      <c r="D277" s="85"/>
      <c r="E277" s="85"/>
      <c r="F277" s="85"/>
    </row>
    <row r="278">
      <c r="A278" s="85"/>
      <c r="B278" s="85"/>
      <c r="C278" s="85"/>
      <c r="D278" s="85"/>
      <c r="E278" s="85"/>
      <c r="F278" s="85"/>
    </row>
    <row r="279">
      <c r="A279" s="85"/>
      <c r="B279" s="85"/>
      <c r="C279" s="85"/>
      <c r="D279" s="85"/>
      <c r="E279" s="85"/>
      <c r="F279" s="85"/>
    </row>
    <row r="280">
      <c r="A280" s="85"/>
      <c r="B280" s="85"/>
      <c r="C280" s="85"/>
      <c r="D280" s="85"/>
      <c r="E280" s="85"/>
      <c r="F280" s="85"/>
    </row>
    <row r="281">
      <c r="A281" s="85"/>
      <c r="B281" s="85"/>
      <c r="C281" s="85"/>
      <c r="D281" s="85"/>
      <c r="E281" s="85"/>
      <c r="F281" s="85"/>
    </row>
    <row r="282">
      <c r="A282" s="85"/>
      <c r="B282" s="85"/>
      <c r="C282" s="85"/>
      <c r="D282" s="85"/>
      <c r="E282" s="85"/>
      <c r="F282" s="85"/>
    </row>
    <row r="283">
      <c r="A283" s="85"/>
      <c r="B283" s="85"/>
      <c r="C283" s="85"/>
      <c r="D283" s="85"/>
      <c r="E283" s="85"/>
      <c r="F283" s="85"/>
    </row>
    <row r="284">
      <c r="A284" s="85"/>
      <c r="B284" s="85"/>
      <c r="C284" s="85"/>
      <c r="D284" s="85"/>
      <c r="E284" s="85"/>
      <c r="F284" s="85"/>
    </row>
    <row r="285">
      <c r="A285" s="85"/>
      <c r="B285" s="85"/>
      <c r="C285" s="85"/>
      <c r="D285" s="85"/>
      <c r="E285" s="85"/>
      <c r="F285" s="85"/>
    </row>
    <row r="286">
      <c r="A286" s="85"/>
      <c r="B286" s="85"/>
      <c r="C286" s="85"/>
      <c r="D286" s="85"/>
      <c r="E286" s="85"/>
      <c r="F286" s="85"/>
    </row>
    <row r="287">
      <c r="A287" s="85"/>
      <c r="B287" s="85"/>
      <c r="C287" s="85"/>
      <c r="D287" s="85"/>
      <c r="E287" s="85"/>
      <c r="F287" s="85"/>
    </row>
    <row r="288">
      <c r="A288" s="85"/>
      <c r="B288" s="85"/>
      <c r="C288" s="85"/>
      <c r="D288" s="85"/>
      <c r="E288" s="85"/>
      <c r="F288" s="85"/>
    </row>
    <row r="289">
      <c r="A289" s="85"/>
      <c r="B289" s="85"/>
      <c r="C289" s="85"/>
      <c r="D289" s="85"/>
      <c r="E289" s="85"/>
      <c r="F289" s="85"/>
    </row>
    <row r="290">
      <c r="A290" s="85"/>
      <c r="B290" s="85"/>
      <c r="C290" s="85"/>
      <c r="D290" s="85"/>
      <c r="E290" s="85"/>
      <c r="F290" s="85"/>
    </row>
    <row r="291">
      <c r="A291" s="85"/>
      <c r="B291" s="85"/>
      <c r="C291" s="85"/>
      <c r="D291" s="85"/>
      <c r="E291" s="85"/>
      <c r="F291" s="85"/>
    </row>
    <row r="292">
      <c r="A292" s="85"/>
      <c r="B292" s="85"/>
      <c r="C292" s="85"/>
      <c r="D292" s="85"/>
      <c r="E292" s="85"/>
      <c r="F292" s="85"/>
    </row>
    <row r="293">
      <c r="A293" s="85"/>
      <c r="B293" s="85"/>
      <c r="C293" s="85"/>
      <c r="D293" s="85"/>
      <c r="E293" s="85"/>
      <c r="F293" s="85"/>
    </row>
    <row r="294">
      <c r="A294" s="85"/>
      <c r="B294" s="85"/>
      <c r="C294" s="85"/>
      <c r="D294" s="85"/>
      <c r="E294" s="85"/>
      <c r="F294" s="85"/>
    </row>
    <row r="295">
      <c r="A295" s="85"/>
      <c r="B295" s="85"/>
      <c r="C295" s="85"/>
      <c r="D295" s="85"/>
      <c r="E295" s="85"/>
      <c r="F295" s="85"/>
    </row>
    <row r="296">
      <c r="A296" s="85"/>
      <c r="B296" s="85"/>
      <c r="C296" s="85"/>
      <c r="D296" s="85"/>
      <c r="E296" s="85"/>
      <c r="F296" s="85"/>
    </row>
    <row r="297">
      <c r="A297" s="85"/>
      <c r="B297" s="85"/>
      <c r="C297" s="85"/>
      <c r="D297" s="85"/>
      <c r="E297" s="85"/>
      <c r="F297" s="85"/>
    </row>
    <row r="298">
      <c r="A298" s="85"/>
      <c r="B298" s="85"/>
      <c r="C298" s="85"/>
      <c r="D298" s="85"/>
      <c r="E298" s="85"/>
      <c r="F298" s="85"/>
    </row>
    <row r="299">
      <c r="A299" s="85"/>
      <c r="B299" s="85"/>
      <c r="C299" s="85"/>
      <c r="D299" s="85"/>
      <c r="E299" s="85"/>
      <c r="F299" s="85"/>
    </row>
    <row r="300">
      <c r="A300" s="85"/>
      <c r="B300" s="85"/>
      <c r="C300" s="85"/>
      <c r="D300" s="85"/>
      <c r="E300" s="85"/>
      <c r="F300" s="85"/>
    </row>
    <row r="301">
      <c r="A301" s="85"/>
      <c r="B301" s="85"/>
      <c r="C301" s="85"/>
      <c r="D301" s="85"/>
      <c r="E301" s="85"/>
      <c r="F301" s="85"/>
    </row>
    <row r="302">
      <c r="A302" s="85"/>
      <c r="B302" s="85"/>
      <c r="C302" s="85"/>
      <c r="D302" s="85"/>
      <c r="E302" s="85"/>
      <c r="F302" s="85"/>
    </row>
    <row r="303">
      <c r="A303" s="85"/>
      <c r="B303" s="85"/>
      <c r="C303" s="85"/>
      <c r="D303" s="85"/>
      <c r="E303" s="85"/>
      <c r="F303" s="85"/>
    </row>
    <row r="304">
      <c r="A304" s="85"/>
      <c r="B304" s="85"/>
      <c r="C304" s="85"/>
      <c r="D304" s="85"/>
      <c r="E304" s="85"/>
      <c r="F304" s="85"/>
    </row>
    <row r="305">
      <c r="A305" s="85"/>
      <c r="B305" s="85"/>
      <c r="C305" s="85"/>
      <c r="D305" s="85"/>
      <c r="E305" s="85"/>
      <c r="F305" s="85"/>
    </row>
    <row r="306">
      <c r="A306" s="85"/>
      <c r="B306" s="85"/>
      <c r="C306" s="85"/>
      <c r="D306" s="85"/>
      <c r="E306" s="85"/>
      <c r="F306" s="85"/>
    </row>
    <row r="307">
      <c r="A307" s="85"/>
      <c r="B307" s="85"/>
      <c r="C307" s="85"/>
      <c r="D307" s="85"/>
      <c r="E307" s="85"/>
      <c r="F307" s="85"/>
    </row>
    <row r="308">
      <c r="A308" s="85"/>
      <c r="B308" s="85"/>
      <c r="C308" s="85"/>
      <c r="D308" s="85"/>
      <c r="E308" s="85"/>
      <c r="F308" s="85"/>
    </row>
    <row r="309">
      <c r="A309" s="85"/>
      <c r="B309" s="85"/>
      <c r="C309" s="85"/>
      <c r="D309" s="85"/>
      <c r="E309" s="85"/>
      <c r="F309" s="85"/>
    </row>
    <row r="310">
      <c r="A310" s="85"/>
      <c r="B310" s="85"/>
      <c r="C310" s="85"/>
      <c r="D310" s="85"/>
      <c r="E310" s="85"/>
      <c r="F310" s="85"/>
    </row>
    <row r="311">
      <c r="A311" s="85"/>
      <c r="B311" s="85"/>
      <c r="C311" s="85"/>
      <c r="D311" s="85"/>
      <c r="E311" s="85"/>
      <c r="F311" s="85"/>
    </row>
    <row r="312">
      <c r="A312" s="85"/>
      <c r="B312" s="85"/>
      <c r="C312" s="85"/>
      <c r="D312" s="85"/>
      <c r="E312" s="85"/>
      <c r="F312" s="85"/>
    </row>
    <row r="313">
      <c r="A313" s="85"/>
      <c r="B313" s="85"/>
      <c r="C313" s="85"/>
      <c r="D313" s="85"/>
      <c r="E313" s="85"/>
      <c r="F313" s="85"/>
    </row>
    <row r="314">
      <c r="A314" s="85"/>
      <c r="B314" s="85"/>
      <c r="C314" s="85"/>
      <c r="D314" s="85"/>
      <c r="E314" s="85"/>
      <c r="F314" s="85"/>
    </row>
    <row r="315">
      <c r="A315" s="85"/>
      <c r="B315" s="85"/>
      <c r="C315" s="85"/>
      <c r="D315" s="85"/>
      <c r="E315" s="85"/>
      <c r="F315" s="85"/>
    </row>
    <row r="316">
      <c r="A316" s="85"/>
      <c r="B316" s="85"/>
      <c r="C316" s="85"/>
      <c r="D316" s="85"/>
      <c r="E316" s="85"/>
      <c r="F316" s="85"/>
    </row>
    <row r="317">
      <c r="A317" s="85"/>
      <c r="B317" s="85"/>
      <c r="C317" s="85"/>
      <c r="D317" s="85"/>
      <c r="E317" s="85"/>
      <c r="F317" s="85"/>
    </row>
    <row r="318">
      <c r="A318" s="85"/>
      <c r="B318" s="85"/>
      <c r="C318" s="85"/>
      <c r="D318" s="85"/>
      <c r="E318" s="85"/>
      <c r="F318" s="85"/>
    </row>
    <row r="319">
      <c r="A319" s="85"/>
      <c r="B319" s="85"/>
      <c r="C319" s="85"/>
      <c r="D319" s="85"/>
      <c r="E319" s="85"/>
      <c r="F319" s="85"/>
    </row>
    <row r="320">
      <c r="A320" s="85"/>
      <c r="B320" s="85"/>
      <c r="C320" s="85"/>
      <c r="D320" s="85"/>
      <c r="E320" s="85"/>
      <c r="F320" s="85"/>
    </row>
    <row r="321">
      <c r="A321" s="85"/>
      <c r="B321" s="85"/>
      <c r="C321" s="85"/>
      <c r="D321" s="85"/>
      <c r="E321" s="85"/>
      <c r="F321" s="85"/>
    </row>
    <row r="322">
      <c r="A322" s="85"/>
      <c r="B322" s="85"/>
      <c r="C322" s="85"/>
      <c r="D322" s="85"/>
      <c r="E322" s="85"/>
      <c r="F322" s="85"/>
    </row>
    <row r="323">
      <c r="A323" s="85"/>
      <c r="B323" s="85"/>
      <c r="C323" s="85"/>
      <c r="D323" s="85"/>
      <c r="E323" s="85"/>
      <c r="F323" s="85"/>
    </row>
    <row r="324">
      <c r="A324" s="85"/>
      <c r="B324" s="85"/>
      <c r="C324" s="85"/>
      <c r="D324" s="85"/>
      <c r="E324" s="85"/>
      <c r="F324" s="85"/>
    </row>
    <row r="325">
      <c r="A325" s="85"/>
      <c r="B325" s="85"/>
      <c r="C325" s="85"/>
      <c r="D325" s="85"/>
      <c r="E325" s="85"/>
      <c r="F325" s="85"/>
    </row>
    <row r="326">
      <c r="A326" s="85"/>
      <c r="B326" s="85"/>
      <c r="C326" s="85"/>
      <c r="D326" s="85"/>
      <c r="E326" s="85"/>
      <c r="F326" s="85"/>
    </row>
    <row r="327">
      <c r="A327" s="85"/>
      <c r="B327" s="85"/>
      <c r="C327" s="85"/>
      <c r="D327" s="85"/>
      <c r="E327" s="85"/>
      <c r="F327" s="85"/>
    </row>
    <row r="328">
      <c r="A328" s="85"/>
      <c r="B328" s="85"/>
      <c r="C328" s="85"/>
      <c r="D328" s="85"/>
      <c r="E328" s="85"/>
      <c r="F328" s="85"/>
    </row>
    <row r="329">
      <c r="A329" s="85"/>
      <c r="B329" s="85"/>
      <c r="C329" s="85"/>
      <c r="D329" s="85"/>
      <c r="E329" s="85"/>
      <c r="F329" s="85"/>
    </row>
    <row r="330">
      <c r="A330" s="85"/>
      <c r="B330" s="85"/>
      <c r="C330" s="85"/>
      <c r="D330" s="85"/>
      <c r="E330" s="85"/>
      <c r="F330" s="85"/>
    </row>
    <row r="331">
      <c r="A331" s="85"/>
      <c r="B331" s="85"/>
      <c r="C331" s="85"/>
      <c r="D331" s="85"/>
      <c r="E331" s="85"/>
      <c r="F331" s="85"/>
    </row>
    <row r="332">
      <c r="A332" s="85"/>
      <c r="B332" s="85"/>
      <c r="C332" s="85"/>
      <c r="D332" s="85"/>
      <c r="E332" s="85"/>
      <c r="F332" s="85"/>
    </row>
    <row r="333">
      <c r="A333" s="85"/>
      <c r="B333" s="85"/>
      <c r="C333" s="85"/>
      <c r="D333" s="85"/>
      <c r="E333" s="85"/>
      <c r="F333" s="85"/>
    </row>
    <row r="334">
      <c r="A334" s="85"/>
      <c r="B334" s="85"/>
      <c r="C334" s="85"/>
      <c r="D334" s="85"/>
      <c r="E334" s="85"/>
      <c r="F334" s="85"/>
    </row>
    <row r="335">
      <c r="A335" s="85"/>
      <c r="B335" s="85"/>
      <c r="C335" s="85"/>
      <c r="D335" s="85"/>
      <c r="E335" s="85"/>
      <c r="F335" s="85"/>
    </row>
    <row r="336">
      <c r="A336" s="85"/>
      <c r="B336" s="85"/>
      <c r="C336" s="85"/>
      <c r="D336" s="85"/>
      <c r="E336" s="85"/>
      <c r="F336" s="85"/>
    </row>
    <row r="337">
      <c r="A337" s="85"/>
      <c r="B337" s="85"/>
      <c r="C337" s="85"/>
      <c r="D337" s="85"/>
      <c r="E337" s="85"/>
      <c r="F337" s="85"/>
    </row>
    <row r="338">
      <c r="A338" s="85"/>
      <c r="B338" s="85"/>
      <c r="C338" s="85"/>
      <c r="D338" s="85"/>
      <c r="E338" s="85"/>
      <c r="F338" s="85"/>
    </row>
    <row r="339">
      <c r="A339" s="85"/>
      <c r="B339" s="85"/>
      <c r="C339" s="85"/>
      <c r="D339" s="85"/>
      <c r="E339" s="85"/>
      <c r="F339" s="85"/>
    </row>
    <row r="340">
      <c r="A340" s="85"/>
      <c r="B340" s="85"/>
      <c r="C340" s="85"/>
      <c r="D340" s="85"/>
      <c r="E340" s="85"/>
      <c r="F340" s="85"/>
    </row>
    <row r="341">
      <c r="A341" s="85"/>
      <c r="B341" s="85"/>
      <c r="C341" s="85"/>
      <c r="D341" s="85"/>
      <c r="E341" s="85"/>
      <c r="F341" s="85"/>
    </row>
    <row r="342">
      <c r="A342" s="85"/>
      <c r="B342" s="85"/>
      <c r="C342" s="85"/>
      <c r="D342" s="85"/>
      <c r="E342" s="85"/>
      <c r="F342" s="85"/>
    </row>
    <row r="343">
      <c r="A343" s="85"/>
      <c r="B343" s="85"/>
      <c r="C343" s="85"/>
      <c r="D343" s="85"/>
      <c r="E343" s="85"/>
      <c r="F343" s="85"/>
    </row>
    <row r="344">
      <c r="A344" s="85"/>
      <c r="B344" s="85"/>
      <c r="C344" s="85"/>
      <c r="D344" s="85"/>
      <c r="E344" s="85"/>
      <c r="F344" s="85"/>
    </row>
    <row r="345">
      <c r="A345" s="85"/>
      <c r="B345" s="85"/>
      <c r="C345" s="85"/>
      <c r="D345" s="85"/>
      <c r="E345" s="85"/>
      <c r="F345" s="85"/>
    </row>
    <row r="346">
      <c r="A346" s="85"/>
      <c r="B346" s="85"/>
      <c r="C346" s="85"/>
      <c r="D346" s="85"/>
      <c r="E346" s="85"/>
      <c r="F346" s="85"/>
    </row>
    <row r="347">
      <c r="A347" s="85"/>
      <c r="B347" s="85"/>
      <c r="C347" s="85"/>
      <c r="D347" s="85"/>
      <c r="E347" s="85"/>
      <c r="F347" s="85"/>
    </row>
    <row r="348">
      <c r="A348" s="85"/>
      <c r="B348" s="85"/>
      <c r="C348" s="85"/>
      <c r="D348" s="85"/>
      <c r="E348" s="85"/>
      <c r="F348" s="85"/>
    </row>
    <row r="349">
      <c r="A349" s="85"/>
      <c r="B349" s="85"/>
      <c r="C349" s="85"/>
      <c r="D349" s="85"/>
      <c r="E349" s="85"/>
      <c r="F349" s="85"/>
    </row>
    <row r="350">
      <c r="A350" s="85"/>
      <c r="B350" s="85"/>
      <c r="C350" s="85"/>
      <c r="D350" s="85"/>
      <c r="E350" s="85"/>
      <c r="F350" s="85"/>
    </row>
    <row r="351">
      <c r="A351" s="85"/>
      <c r="B351" s="85"/>
      <c r="C351" s="85"/>
      <c r="D351" s="85"/>
      <c r="E351" s="85"/>
      <c r="F351" s="85"/>
    </row>
    <row r="352">
      <c r="A352" s="85"/>
      <c r="B352" s="85"/>
      <c r="C352" s="85"/>
      <c r="D352" s="85"/>
      <c r="E352" s="85"/>
      <c r="F352" s="85"/>
    </row>
    <row r="353">
      <c r="A353" s="85"/>
      <c r="B353" s="85"/>
      <c r="C353" s="85"/>
      <c r="D353" s="85"/>
      <c r="E353" s="85"/>
      <c r="F353" s="85"/>
    </row>
    <row r="354">
      <c r="A354" s="85"/>
      <c r="B354" s="85"/>
      <c r="C354" s="85"/>
      <c r="D354" s="85"/>
      <c r="E354" s="85"/>
      <c r="F354" s="85"/>
    </row>
    <row r="355">
      <c r="A355" s="85"/>
      <c r="B355" s="85"/>
      <c r="C355" s="85"/>
      <c r="D355" s="85"/>
      <c r="E355" s="85"/>
      <c r="F355" s="85"/>
    </row>
    <row r="356">
      <c r="A356" s="85"/>
      <c r="B356" s="85"/>
      <c r="C356" s="85"/>
      <c r="D356" s="85"/>
      <c r="E356" s="85"/>
      <c r="F356" s="85"/>
    </row>
    <row r="357">
      <c r="A357" s="85"/>
      <c r="B357" s="85"/>
      <c r="C357" s="85"/>
      <c r="D357" s="85"/>
      <c r="E357" s="85"/>
      <c r="F357" s="85"/>
    </row>
    <row r="358">
      <c r="A358" s="85"/>
      <c r="B358" s="85"/>
      <c r="C358" s="85"/>
      <c r="D358" s="85"/>
      <c r="E358" s="85"/>
      <c r="F358" s="85"/>
    </row>
    <row r="359">
      <c r="A359" s="85"/>
      <c r="B359" s="85"/>
      <c r="C359" s="85"/>
      <c r="D359" s="85"/>
      <c r="E359" s="85"/>
      <c r="F359" s="85"/>
    </row>
    <row r="360">
      <c r="A360" s="85"/>
      <c r="B360" s="85"/>
      <c r="C360" s="85"/>
      <c r="D360" s="85"/>
      <c r="E360" s="85"/>
      <c r="F360" s="85"/>
    </row>
    <row r="361">
      <c r="A361" s="85"/>
      <c r="B361" s="85"/>
      <c r="C361" s="85"/>
      <c r="D361" s="85"/>
      <c r="E361" s="85"/>
      <c r="F361" s="85"/>
    </row>
    <row r="362">
      <c r="A362" s="85"/>
      <c r="B362" s="85"/>
      <c r="C362" s="85"/>
      <c r="D362" s="85"/>
      <c r="E362" s="85"/>
      <c r="F362" s="85"/>
    </row>
    <row r="363">
      <c r="A363" s="85"/>
      <c r="B363" s="85"/>
      <c r="C363" s="85"/>
      <c r="D363" s="85"/>
      <c r="E363" s="85"/>
      <c r="F363" s="85"/>
    </row>
    <row r="364">
      <c r="A364" s="85"/>
      <c r="B364" s="85"/>
      <c r="C364" s="85"/>
      <c r="D364" s="85"/>
      <c r="E364" s="85"/>
      <c r="F364" s="85"/>
    </row>
    <row r="365">
      <c r="A365" s="85"/>
      <c r="B365" s="85"/>
      <c r="C365" s="85"/>
      <c r="D365" s="85"/>
      <c r="E365" s="85"/>
      <c r="F365" s="85"/>
    </row>
    <row r="366">
      <c r="A366" s="85"/>
      <c r="B366" s="85"/>
      <c r="C366" s="85"/>
      <c r="D366" s="85"/>
      <c r="E366" s="85"/>
      <c r="F366" s="85"/>
    </row>
    <row r="367">
      <c r="A367" s="85"/>
      <c r="B367" s="85"/>
      <c r="C367" s="85"/>
      <c r="D367" s="85"/>
      <c r="E367" s="85"/>
      <c r="F367" s="85"/>
    </row>
    <row r="368">
      <c r="A368" s="85"/>
      <c r="B368" s="85"/>
      <c r="C368" s="85"/>
      <c r="D368" s="85"/>
      <c r="E368" s="85"/>
      <c r="F368" s="85"/>
    </row>
    <row r="369">
      <c r="A369" s="85"/>
      <c r="B369" s="85"/>
      <c r="C369" s="85"/>
      <c r="D369" s="85"/>
      <c r="E369" s="85"/>
      <c r="F369" s="85"/>
    </row>
    <row r="370">
      <c r="A370" s="85"/>
      <c r="B370" s="85"/>
      <c r="C370" s="85"/>
      <c r="D370" s="85"/>
      <c r="E370" s="85"/>
      <c r="F370" s="85"/>
    </row>
    <row r="371">
      <c r="A371" s="85"/>
      <c r="B371" s="85"/>
      <c r="C371" s="85"/>
      <c r="D371" s="85"/>
      <c r="E371" s="85"/>
      <c r="F371" s="85"/>
    </row>
    <row r="372">
      <c r="A372" s="85"/>
      <c r="B372" s="85"/>
      <c r="C372" s="85"/>
      <c r="D372" s="85"/>
      <c r="E372" s="85"/>
      <c r="F372" s="85"/>
    </row>
    <row r="373">
      <c r="A373" s="85"/>
      <c r="B373" s="85"/>
      <c r="C373" s="85"/>
      <c r="D373" s="85"/>
      <c r="E373" s="85"/>
      <c r="F373" s="85"/>
    </row>
    <row r="374">
      <c r="A374" s="85"/>
      <c r="B374" s="85"/>
      <c r="C374" s="85"/>
      <c r="D374" s="85"/>
      <c r="E374" s="85"/>
      <c r="F374" s="85"/>
    </row>
    <row r="375">
      <c r="A375" s="85"/>
      <c r="B375" s="85"/>
      <c r="C375" s="85"/>
      <c r="D375" s="85"/>
      <c r="E375" s="85"/>
      <c r="F375" s="85"/>
    </row>
    <row r="376">
      <c r="A376" s="85"/>
      <c r="B376" s="85"/>
      <c r="C376" s="85"/>
      <c r="D376" s="85"/>
      <c r="E376" s="85"/>
      <c r="F376" s="85"/>
    </row>
    <row r="377">
      <c r="A377" s="85"/>
      <c r="B377" s="85"/>
      <c r="C377" s="85"/>
      <c r="D377" s="85"/>
      <c r="E377" s="85"/>
      <c r="F377" s="85"/>
    </row>
    <row r="378">
      <c r="A378" s="85"/>
      <c r="B378" s="85"/>
      <c r="C378" s="85"/>
      <c r="D378" s="85"/>
      <c r="E378" s="85"/>
      <c r="F378" s="85"/>
    </row>
    <row r="379">
      <c r="A379" s="85"/>
      <c r="B379" s="85"/>
      <c r="C379" s="85"/>
      <c r="D379" s="85"/>
      <c r="E379" s="85"/>
      <c r="F379" s="85"/>
    </row>
    <row r="380">
      <c r="A380" s="85"/>
      <c r="B380" s="85"/>
      <c r="C380" s="85"/>
      <c r="D380" s="85"/>
      <c r="E380" s="85"/>
      <c r="F380" s="85"/>
    </row>
    <row r="381">
      <c r="A381" s="85"/>
      <c r="B381" s="85"/>
      <c r="C381" s="85"/>
      <c r="D381" s="85"/>
      <c r="E381" s="85"/>
      <c r="F381" s="85"/>
    </row>
    <row r="382">
      <c r="A382" s="85"/>
      <c r="B382" s="85"/>
      <c r="C382" s="85"/>
      <c r="D382" s="85"/>
      <c r="E382" s="85"/>
      <c r="F382" s="85"/>
    </row>
    <row r="383">
      <c r="A383" s="85"/>
      <c r="B383" s="85"/>
      <c r="C383" s="85"/>
      <c r="D383" s="85"/>
      <c r="E383" s="85"/>
      <c r="F383" s="85"/>
    </row>
    <row r="384">
      <c r="A384" s="85"/>
      <c r="B384" s="85"/>
      <c r="C384" s="85"/>
      <c r="D384" s="85"/>
      <c r="E384" s="85"/>
      <c r="F384" s="85"/>
    </row>
    <row r="385">
      <c r="A385" s="85"/>
      <c r="B385" s="85"/>
      <c r="C385" s="85"/>
      <c r="D385" s="85"/>
      <c r="E385" s="85"/>
      <c r="F385" s="85"/>
    </row>
    <row r="386">
      <c r="A386" s="85"/>
      <c r="B386" s="85"/>
      <c r="C386" s="85"/>
      <c r="D386" s="85"/>
      <c r="E386" s="85"/>
      <c r="F386" s="85"/>
    </row>
    <row r="387">
      <c r="A387" s="85"/>
      <c r="B387" s="85"/>
      <c r="C387" s="85"/>
      <c r="D387" s="85"/>
      <c r="E387" s="85"/>
      <c r="F387" s="85"/>
    </row>
    <row r="388">
      <c r="A388" s="85"/>
      <c r="B388" s="85"/>
      <c r="C388" s="85"/>
      <c r="D388" s="85"/>
      <c r="E388" s="85"/>
      <c r="F388" s="85"/>
    </row>
    <row r="389">
      <c r="A389" s="85"/>
      <c r="B389" s="85"/>
      <c r="C389" s="85"/>
      <c r="D389" s="85"/>
      <c r="E389" s="85"/>
      <c r="F389" s="85"/>
    </row>
    <row r="390">
      <c r="A390" s="85"/>
      <c r="B390" s="85"/>
      <c r="C390" s="85"/>
      <c r="D390" s="85"/>
      <c r="E390" s="85"/>
      <c r="F390" s="85"/>
    </row>
    <row r="391">
      <c r="A391" s="85"/>
      <c r="B391" s="85"/>
      <c r="C391" s="85"/>
      <c r="D391" s="85"/>
      <c r="E391" s="85"/>
      <c r="F391" s="85"/>
    </row>
    <row r="392">
      <c r="A392" s="85"/>
      <c r="B392" s="85"/>
      <c r="C392" s="85"/>
      <c r="D392" s="85"/>
      <c r="E392" s="85"/>
      <c r="F392" s="85"/>
    </row>
    <row r="393">
      <c r="A393" s="85"/>
      <c r="B393" s="85"/>
      <c r="C393" s="85"/>
      <c r="D393" s="85"/>
      <c r="E393" s="85"/>
      <c r="F393" s="85"/>
    </row>
    <row r="394">
      <c r="A394" s="85"/>
      <c r="B394" s="85"/>
      <c r="C394" s="85"/>
      <c r="D394" s="85"/>
      <c r="E394" s="85"/>
      <c r="F394" s="85"/>
    </row>
    <row r="395">
      <c r="A395" s="85"/>
      <c r="B395" s="85"/>
      <c r="C395" s="85"/>
      <c r="D395" s="85"/>
      <c r="E395" s="85"/>
      <c r="F395" s="85"/>
    </row>
    <row r="396">
      <c r="A396" s="85"/>
      <c r="B396" s="85"/>
      <c r="C396" s="85"/>
      <c r="D396" s="85"/>
      <c r="E396" s="85"/>
      <c r="F396" s="85"/>
    </row>
    <row r="397">
      <c r="A397" s="85"/>
      <c r="B397" s="85"/>
      <c r="C397" s="85"/>
      <c r="D397" s="85"/>
      <c r="E397" s="85"/>
      <c r="F397" s="85"/>
    </row>
    <row r="398">
      <c r="A398" s="85"/>
      <c r="B398" s="85"/>
      <c r="C398" s="85"/>
      <c r="D398" s="85"/>
      <c r="E398" s="85"/>
      <c r="F398" s="85"/>
    </row>
    <row r="399">
      <c r="A399" s="85"/>
      <c r="B399" s="85"/>
      <c r="C399" s="85"/>
      <c r="D399" s="85"/>
      <c r="E399" s="85"/>
      <c r="F399" s="85"/>
    </row>
    <row r="400">
      <c r="A400" s="85"/>
      <c r="B400" s="85"/>
      <c r="C400" s="85"/>
      <c r="D400" s="85"/>
      <c r="E400" s="85"/>
      <c r="F400" s="85"/>
    </row>
    <row r="401">
      <c r="A401" s="85"/>
      <c r="B401" s="85"/>
      <c r="C401" s="85"/>
      <c r="D401" s="85"/>
      <c r="E401" s="85"/>
      <c r="F401" s="85"/>
    </row>
    <row r="402">
      <c r="A402" s="85"/>
      <c r="B402" s="85"/>
      <c r="C402" s="85"/>
      <c r="D402" s="85"/>
      <c r="E402" s="85"/>
      <c r="F402" s="85"/>
    </row>
    <row r="403">
      <c r="A403" s="85"/>
      <c r="B403" s="85"/>
      <c r="C403" s="85"/>
      <c r="D403" s="85"/>
      <c r="E403" s="85"/>
      <c r="F403" s="85"/>
    </row>
    <row r="404">
      <c r="A404" s="85"/>
      <c r="B404" s="85"/>
      <c r="C404" s="85"/>
      <c r="D404" s="85"/>
      <c r="E404" s="85"/>
      <c r="F404" s="85"/>
    </row>
    <row r="405">
      <c r="A405" s="85"/>
      <c r="B405" s="85"/>
      <c r="C405" s="85"/>
      <c r="D405" s="85"/>
      <c r="E405" s="85"/>
      <c r="F405" s="85"/>
    </row>
    <row r="406">
      <c r="A406" s="85"/>
      <c r="B406" s="85"/>
      <c r="C406" s="85"/>
      <c r="D406" s="85"/>
      <c r="E406" s="85"/>
      <c r="F406" s="85"/>
    </row>
    <row r="407">
      <c r="A407" s="85"/>
      <c r="B407" s="85"/>
      <c r="C407" s="85"/>
      <c r="D407" s="85"/>
      <c r="E407" s="85"/>
      <c r="F407" s="85"/>
    </row>
    <row r="408">
      <c r="A408" s="85"/>
      <c r="B408" s="85"/>
      <c r="C408" s="85"/>
      <c r="D408" s="85"/>
      <c r="E408" s="85"/>
      <c r="F408" s="85"/>
    </row>
    <row r="409">
      <c r="A409" s="85"/>
      <c r="B409" s="85"/>
      <c r="C409" s="85"/>
      <c r="D409" s="85"/>
      <c r="E409" s="85"/>
      <c r="F409" s="85"/>
    </row>
    <row r="410">
      <c r="A410" s="85"/>
      <c r="B410" s="85"/>
      <c r="C410" s="85"/>
      <c r="D410" s="85"/>
      <c r="E410" s="85"/>
      <c r="F410" s="85"/>
    </row>
    <row r="411">
      <c r="A411" s="85"/>
      <c r="B411" s="85"/>
      <c r="C411" s="85"/>
      <c r="D411" s="85"/>
      <c r="E411" s="85"/>
      <c r="F411" s="85"/>
    </row>
    <row r="412">
      <c r="A412" s="85"/>
      <c r="B412" s="85"/>
      <c r="C412" s="85"/>
      <c r="D412" s="85"/>
      <c r="E412" s="85"/>
      <c r="F412" s="85"/>
    </row>
    <row r="413">
      <c r="A413" s="85"/>
      <c r="B413" s="85"/>
      <c r="C413" s="85"/>
      <c r="D413" s="85"/>
      <c r="E413" s="85"/>
      <c r="F413" s="85"/>
    </row>
    <row r="414">
      <c r="A414" s="85"/>
      <c r="B414" s="85"/>
      <c r="C414" s="85"/>
      <c r="D414" s="85"/>
      <c r="E414" s="85"/>
      <c r="F414" s="85"/>
    </row>
    <row r="415">
      <c r="A415" s="85"/>
      <c r="B415" s="85"/>
      <c r="C415" s="85"/>
      <c r="D415" s="85"/>
      <c r="E415" s="85"/>
      <c r="F415" s="85"/>
    </row>
    <row r="416">
      <c r="A416" s="85"/>
      <c r="B416" s="85"/>
      <c r="C416" s="85"/>
      <c r="D416" s="85"/>
      <c r="E416" s="85"/>
      <c r="F416" s="85"/>
    </row>
    <row r="417">
      <c r="A417" s="85"/>
      <c r="B417" s="85"/>
      <c r="C417" s="85"/>
      <c r="D417" s="85"/>
      <c r="E417" s="85"/>
      <c r="F417" s="85"/>
    </row>
    <row r="418">
      <c r="A418" s="85"/>
      <c r="B418" s="85"/>
      <c r="C418" s="85"/>
      <c r="D418" s="85"/>
      <c r="E418" s="85"/>
      <c r="F418" s="85"/>
    </row>
    <row r="419">
      <c r="A419" s="85"/>
      <c r="B419" s="85"/>
      <c r="C419" s="85"/>
      <c r="D419" s="85"/>
      <c r="E419" s="85"/>
      <c r="F419" s="85"/>
    </row>
    <row r="420">
      <c r="A420" s="85"/>
      <c r="B420" s="85"/>
      <c r="C420" s="85"/>
      <c r="D420" s="85"/>
      <c r="E420" s="85"/>
      <c r="F420" s="85"/>
    </row>
    <row r="421">
      <c r="A421" s="85"/>
      <c r="B421" s="85"/>
      <c r="C421" s="85"/>
      <c r="D421" s="85"/>
      <c r="E421" s="85"/>
      <c r="F421" s="85"/>
    </row>
    <row r="422">
      <c r="A422" s="85"/>
      <c r="B422" s="85"/>
      <c r="C422" s="85"/>
      <c r="D422" s="85"/>
      <c r="E422" s="85"/>
      <c r="F422" s="85"/>
    </row>
    <row r="423">
      <c r="A423" s="85"/>
      <c r="B423" s="85"/>
      <c r="C423" s="85"/>
      <c r="D423" s="85"/>
      <c r="E423" s="85"/>
      <c r="F423" s="85"/>
    </row>
    <row r="424">
      <c r="A424" s="85"/>
      <c r="B424" s="85"/>
      <c r="C424" s="85"/>
      <c r="D424" s="85"/>
      <c r="E424" s="85"/>
      <c r="F424" s="85"/>
    </row>
    <row r="425">
      <c r="A425" s="85"/>
      <c r="B425" s="85"/>
      <c r="C425" s="85"/>
      <c r="D425" s="85"/>
      <c r="E425" s="85"/>
      <c r="F425" s="85"/>
    </row>
    <row r="426">
      <c r="A426" s="85"/>
      <c r="B426" s="85"/>
      <c r="C426" s="85"/>
      <c r="D426" s="85"/>
      <c r="E426" s="85"/>
      <c r="F426" s="85"/>
    </row>
    <row r="427">
      <c r="A427" s="85"/>
      <c r="B427" s="85"/>
      <c r="C427" s="85"/>
      <c r="D427" s="85"/>
      <c r="E427" s="85"/>
      <c r="F427" s="85"/>
    </row>
    <row r="428">
      <c r="A428" s="85"/>
      <c r="B428" s="85"/>
      <c r="C428" s="85"/>
      <c r="D428" s="85"/>
      <c r="E428" s="85"/>
      <c r="F428" s="85"/>
    </row>
    <row r="429">
      <c r="A429" s="85"/>
      <c r="B429" s="85"/>
      <c r="C429" s="85"/>
      <c r="D429" s="85"/>
      <c r="E429" s="85"/>
      <c r="F429" s="85"/>
    </row>
    <row r="430">
      <c r="A430" s="85"/>
      <c r="B430" s="85"/>
      <c r="C430" s="85"/>
      <c r="D430" s="85"/>
      <c r="E430" s="85"/>
      <c r="F430" s="85"/>
    </row>
    <row r="431">
      <c r="A431" s="85"/>
      <c r="B431" s="85"/>
      <c r="C431" s="85"/>
      <c r="D431" s="85"/>
      <c r="E431" s="85"/>
      <c r="F431" s="85"/>
    </row>
    <row r="432">
      <c r="A432" s="85"/>
      <c r="B432" s="85"/>
      <c r="C432" s="85"/>
      <c r="D432" s="85"/>
      <c r="E432" s="85"/>
      <c r="F432" s="85"/>
    </row>
    <row r="433">
      <c r="A433" s="85"/>
      <c r="B433" s="85"/>
      <c r="C433" s="85"/>
      <c r="D433" s="85"/>
      <c r="E433" s="85"/>
      <c r="F433" s="85"/>
    </row>
    <row r="434">
      <c r="A434" s="85"/>
      <c r="B434" s="85"/>
      <c r="C434" s="85"/>
      <c r="D434" s="85"/>
      <c r="E434" s="85"/>
      <c r="F434" s="85"/>
    </row>
    <row r="435">
      <c r="A435" s="85"/>
      <c r="B435" s="85"/>
      <c r="C435" s="85"/>
      <c r="D435" s="85"/>
      <c r="E435" s="85"/>
      <c r="F435" s="85"/>
    </row>
    <row r="436">
      <c r="A436" s="85"/>
      <c r="B436" s="85"/>
      <c r="C436" s="85"/>
      <c r="D436" s="85"/>
      <c r="E436" s="85"/>
      <c r="F436" s="85"/>
    </row>
    <row r="437">
      <c r="A437" s="85"/>
      <c r="B437" s="85"/>
      <c r="C437" s="85"/>
      <c r="D437" s="85"/>
      <c r="E437" s="85"/>
      <c r="F437" s="85"/>
    </row>
    <row r="438">
      <c r="A438" s="85"/>
      <c r="B438" s="85"/>
      <c r="C438" s="85"/>
      <c r="D438" s="85"/>
      <c r="E438" s="85"/>
      <c r="F438" s="85"/>
    </row>
    <row r="439">
      <c r="A439" s="85"/>
      <c r="B439" s="85"/>
      <c r="C439" s="85"/>
      <c r="D439" s="85"/>
      <c r="E439" s="85"/>
      <c r="F439" s="85"/>
    </row>
    <row r="440">
      <c r="A440" s="85"/>
      <c r="B440" s="85"/>
      <c r="C440" s="85"/>
      <c r="D440" s="85"/>
      <c r="E440" s="85"/>
      <c r="F440" s="85"/>
    </row>
    <row r="441">
      <c r="A441" s="85"/>
      <c r="B441" s="85"/>
      <c r="C441" s="85"/>
      <c r="D441" s="85"/>
      <c r="E441" s="85"/>
      <c r="F441" s="85"/>
    </row>
    <row r="442">
      <c r="A442" s="85"/>
      <c r="B442" s="85"/>
      <c r="C442" s="85"/>
      <c r="D442" s="85"/>
      <c r="E442" s="85"/>
      <c r="F442" s="85"/>
    </row>
    <row r="443">
      <c r="A443" s="85"/>
      <c r="B443" s="85"/>
      <c r="C443" s="85"/>
      <c r="D443" s="85"/>
      <c r="E443" s="85"/>
      <c r="F443" s="85"/>
    </row>
    <row r="444">
      <c r="A444" s="85"/>
      <c r="B444" s="85"/>
      <c r="C444" s="85"/>
      <c r="D444" s="85"/>
      <c r="E444" s="85"/>
      <c r="F444" s="85"/>
    </row>
    <row r="445">
      <c r="A445" s="85"/>
      <c r="B445" s="85"/>
      <c r="C445" s="85"/>
      <c r="D445" s="85"/>
      <c r="E445" s="85"/>
      <c r="F445" s="85"/>
    </row>
    <row r="446">
      <c r="A446" s="85"/>
      <c r="B446" s="85"/>
      <c r="C446" s="85"/>
      <c r="D446" s="85"/>
      <c r="E446" s="85"/>
      <c r="F446" s="85"/>
    </row>
    <row r="447">
      <c r="A447" s="85"/>
      <c r="B447" s="85"/>
      <c r="C447" s="85"/>
      <c r="D447" s="85"/>
      <c r="E447" s="85"/>
      <c r="F447" s="85"/>
    </row>
    <row r="448">
      <c r="A448" s="85"/>
      <c r="B448" s="85"/>
      <c r="C448" s="85"/>
      <c r="D448" s="85"/>
      <c r="E448" s="85"/>
      <c r="F448" s="85"/>
    </row>
    <row r="449">
      <c r="A449" s="85"/>
      <c r="B449" s="85"/>
      <c r="C449" s="85"/>
      <c r="D449" s="85"/>
      <c r="E449" s="85"/>
      <c r="F449" s="85"/>
    </row>
    <row r="450">
      <c r="A450" s="85"/>
      <c r="B450" s="85"/>
      <c r="C450" s="85"/>
      <c r="D450" s="85"/>
      <c r="E450" s="85"/>
      <c r="F450" s="85"/>
    </row>
    <row r="451">
      <c r="A451" s="85"/>
      <c r="B451" s="85"/>
      <c r="C451" s="85"/>
      <c r="D451" s="85"/>
      <c r="E451" s="85"/>
      <c r="F451" s="85"/>
    </row>
    <row r="452">
      <c r="A452" s="85"/>
      <c r="B452" s="85"/>
      <c r="C452" s="85"/>
      <c r="D452" s="85"/>
      <c r="E452" s="85"/>
      <c r="F452" s="85"/>
    </row>
    <row r="453">
      <c r="A453" s="85"/>
      <c r="B453" s="85"/>
      <c r="C453" s="85"/>
      <c r="D453" s="85"/>
      <c r="E453" s="85"/>
      <c r="F453" s="85"/>
    </row>
    <row r="454">
      <c r="A454" s="85"/>
      <c r="B454" s="85"/>
      <c r="C454" s="85"/>
      <c r="D454" s="85"/>
      <c r="E454" s="85"/>
      <c r="F454" s="85"/>
    </row>
    <row r="455">
      <c r="A455" s="85"/>
      <c r="B455" s="85"/>
      <c r="C455" s="85"/>
      <c r="D455" s="85"/>
      <c r="E455" s="85"/>
      <c r="F455" s="85"/>
    </row>
    <row r="456">
      <c r="A456" s="85"/>
      <c r="B456" s="85"/>
      <c r="C456" s="85"/>
      <c r="D456" s="85"/>
      <c r="E456" s="85"/>
      <c r="F456" s="85"/>
    </row>
    <row r="457">
      <c r="A457" s="85"/>
      <c r="B457" s="85"/>
      <c r="C457" s="85"/>
      <c r="D457" s="85"/>
      <c r="E457" s="85"/>
      <c r="F457" s="85"/>
    </row>
    <row r="458">
      <c r="A458" s="85"/>
      <c r="B458" s="85"/>
      <c r="C458" s="85"/>
      <c r="D458" s="85"/>
      <c r="E458" s="85"/>
      <c r="F458" s="85"/>
    </row>
    <row r="459">
      <c r="A459" s="85"/>
      <c r="B459" s="85"/>
      <c r="C459" s="85"/>
      <c r="D459" s="85"/>
      <c r="E459" s="85"/>
      <c r="F459" s="85"/>
    </row>
    <row r="460">
      <c r="A460" s="85"/>
      <c r="B460" s="85"/>
      <c r="C460" s="85"/>
      <c r="D460" s="85"/>
      <c r="E460" s="85"/>
      <c r="F460" s="85"/>
    </row>
    <row r="461">
      <c r="A461" s="85"/>
      <c r="B461" s="85"/>
      <c r="C461" s="85"/>
      <c r="D461" s="85"/>
      <c r="E461" s="85"/>
      <c r="F461" s="85"/>
    </row>
    <row r="462">
      <c r="A462" s="85"/>
      <c r="B462" s="85"/>
      <c r="C462" s="85"/>
      <c r="D462" s="85"/>
      <c r="E462" s="85"/>
      <c r="F462" s="85"/>
    </row>
    <row r="463">
      <c r="A463" s="85"/>
      <c r="B463" s="85"/>
      <c r="C463" s="85"/>
      <c r="D463" s="85"/>
      <c r="E463" s="85"/>
      <c r="F463" s="85"/>
    </row>
    <row r="464">
      <c r="A464" s="85"/>
      <c r="B464" s="85"/>
      <c r="C464" s="85"/>
      <c r="D464" s="85"/>
      <c r="E464" s="85"/>
      <c r="F464" s="85"/>
    </row>
    <row r="465">
      <c r="A465" s="85"/>
      <c r="B465" s="85"/>
      <c r="C465" s="85"/>
      <c r="D465" s="85"/>
      <c r="E465" s="85"/>
      <c r="F465" s="85"/>
    </row>
    <row r="466">
      <c r="A466" s="85"/>
      <c r="B466" s="85"/>
      <c r="C466" s="85"/>
      <c r="D466" s="85"/>
      <c r="E466" s="85"/>
      <c r="F466" s="85"/>
    </row>
    <row r="467">
      <c r="A467" s="85"/>
      <c r="B467" s="85"/>
      <c r="C467" s="85"/>
      <c r="D467" s="85"/>
      <c r="E467" s="85"/>
      <c r="F467" s="85"/>
    </row>
    <row r="468">
      <c r="A468" s="85"/>
      <c r="B468" s="85"/>
      <c r="C468" s="85"/>
      <c r="D468" s="85"/>
      <c r="E468" s="85"/>
      <c r="F468" s="85"/>
    </row>
    <row r="469">
      <c r="A469" s="85"/>
      <c r="B469" s="85"/>
      <c r="C469" s="85"/>
      <c r="D469" s="85"/>
      <c r="E469" s="85"/>
      <c r="F469" s="85"/>
    </row>
    <row r="470">
      <c r="A470" s="85"/>
      <c r="B470" s="85"/>
      <c r="C470" s="85"/>
      <c r="D470" s="85"/>
      <c r="E470" s="85"/>
      <c r="F470" s="85"/>
    </row>
    <row r="471">
      <c r="A471" s="85"/>
      <c r="B471" s="85"/>
      <c r="C471" s="85"/>
      <c r="D471" s="85"/>
      <c r="E471" s="85"/>
      <c r="F471" s="85"/>
    </row>
    <row r="472">
      <c r="A472" s="85"/>
      <c r="B472" s="85"/>
      <c r="C472" s="85"/>
      <c r="D472" s="85"/>
      <c r="E472" s="85"/>
      <c r="F472" s="85"/>
    </row>
    <row r="473">
      <c r="A473" s="85"/>
      <c r="B473" s="85"/>
      <c r="C473" s="85"/>
      <c r="D473" s="85"/>
      <c r="E473" s="85"/>
      <c r="F473" s="85"/>
    </row>
    <row r="474">
      <c r="A474" s="85"/>
      <c r="B474" s="85"/>
      <c r="C474" s="85"/>
      <c r="D474" s="85"/>
      <c r="E474" s="85"/>
      <c r="F474" s="85"/>
    </row>
    <row r="475">
      <c r="A475" s="85"/>
      <c r="B475" s="85"/>
      <c r="C475" s="85"/>
      <c r="D475" s="85"/>
      <c r="E475" s="85"/>
      <c r="F475" s="85"/>
    </row>
    <row r="476">
      <c r="A476" s="85"/>
      <c r="B476" s="85"/>
      <c r="C476" s="85"/>
      <c r="D476" s="85"/>
      <c r="E476" s="85"/>
      <c r="F476" s="85"/>
    </row>
    <row r="477">
      <c r="A477" s="85"/>
      <c r="B477" s="85"/>
      <c r="C477" s="85"/>
      <c r="D477" s="85"/>
      <c r="E477" s="85"/>
      <c r="F477" s="85"/>
    </row>
    <row r="478">
      <c r="A478" s="85"/>
      <c r="B478" s="85"/>
      <c r="C478" s="85"/>
      <c r="D478" s="85"/>
      <c r="E478" s="85"/>
      <c r="F478" s="85"/>
    </row>
    <row r="479">
      <c r="A479" s="85"/>
      <c r="B479" s="85"/>
      <c r="C479" s="85"/>
      <c r="D479" s="85"/>
      <c r="E479" s="85"/>
      <c r="F479" s="85"/>
    </row>
    <row r="480">
      <c r="A480" s="85"/>
      <c r="B480" s="85"/>
      <c r="C480" s="85"/>
      <c r="D480" s="85"/>
      <c r="E480" s="85"/>
      <c r="F480" s="85"/>
    </row>
    <row r="481">
      <c r="A481" s="85"/>
      <c r="B481" s="85"/>
      <c r="C481" s="85"/>
      <c r="D481" s="85"/>
      <c r="E481" s="85"/>
      <c r="F481" s="85"/>
    </row>
    <row r="482">
      <c r="A482" s="85"/>
      <c r="B482" s="85"/>
      <c r="C482" s="85"/>
      <c r="D482" s="85"/>
      <c r="E482" s="85"/>
      <c r="F482" s="85"/>
    </row>
    <row r="483">
      <c r="A483" s="85"/>
      <c r="B483" s="85"/>
      <c r="C483" s="85"/>
      <c r="D483" s="85"/>
      <c r="E483" s="85"/>
      <c r="F483" s="85"/>
    </row>
    <row r="484">
      <c r="A484" s="85"/>
      <c r="B484" s="85"/>
      <c r="C484" s="85"/>
      <c r="D484" s="85"/>
      <c r="E484" s="85"/>
      <c r="F484" s="85"/>
    </row>
    <row r="485">
      <c r="A485" s="85"/>
      <c r="B485" s="85"/>
      <c r="C485" s="85"/>
      <c r="D485" s="85"/>
      <c r="E485" s="85"/>
      <c r="F485" s="85"/>
    </row>
    <row r="486">
      <c r="A486" s="85"/>
      <c r="B486" s="85"/>
      <c r="C486" s="85"/>
      <c r="D486" s="85"/>
      <c r="E486" s="85"/>
      <c r="F486" s="85"/>
    </row>
    <row r="487">
      <c r="A487" s="85"/>
      <c r="B487" s="85"/>
      <c r="C487" s="85"/>
      <c r="D487" s="85"/>
      <c r="E487" s="85"/>
      <c r="F487" s="85"/>
    </row>
    <row r="488">
      <c r="A488" s="85"/>
      <c r="B488" s="85"/>
      <c r="C488" s="85"/>
      <c r="D488" s="85"/>
      <c r="E488" s="85"/>
      <c r="F488" s="85"/>
    </row>
    <row r="489">
      <c r="A489" s="85"/>
      <c r="B489" s="85"/>
      <c r="C489" s="85"/>
      <c r="D489" s="85"/>
      <c r="E489" s="85"/>
      <c r="F489" s="85"/>
    </row>
    <row r="490">
      <c r="A490" s="85"/>
      <c r="B490" s="85"/>
      <c r="C490" s="85"/>
      <c r="D490" s="85"/>
      <c r="E490" s="85"/>
      <c r="F490" s="85"/>
    </row>
    <row r="491">
      <c r="A491" s="85"/>
      <c r="B491" s="85"/>
      <c r="C491" s="85"/>
      <c r="D491" s="85"/>
      <c r="E491" s="85"/>
      <c r="F491" s="85"/>
    </row>
    <row r="492">
      <c r="A492" s="85"/>
      <c r="B492" s="85"/>
      <c r="C492" s="85"/>
      <c r="D492" s="85"/>
      <c r="E492" s="85"/>
      <c r="F492" s="85"/>
    </row>
    <row r="493">
      <c r="A493" s="85"/>
      <c r="B493" s="85"/>
      <c r="C493" s="85"/>
      <c r="D493" s="85"/>
      <c r="E493" s="85"/>
      <c r="F493" s="85"/>
    </row>
    <row r="494">
      <c r="A494" s="85"/>
      <c r="B494" s="85"/>
      <c r="C494" s="85"/>
      <c r="D494" s="85"/>
      <c r="E494" s="85"/>
      <c r="F494" s="85"/>
    </row>
    <row r="495">
      <c r="A495" s="85"/>
      <c r="B495" s="85"/>
      <c r="C495" s="85"/>
      <c r="D495" s="85"/>
      <c r="E495" s="85"/>
      <c r="F495" s="85"/>
    </row>
    <row r="496">
      <c r="A496" s="85"/>
      <c r="B496" s="85"/>
      <c r="C496" s="85"/>
      <c r="D496" s="85"/>
      <c r="E496" s="85"/>
      <c r="F496" s="85"/>
    </row>
    <row r="497">
      <c r="A497" s="85"/>
      <c r="B497" s="85"/>
      <c r="C497" s="85"/>
      <c r="D497" s="85"/>
      <c r="E497" s="85"/>
      <c r="F497" s="85"/>
    </row>
    <row r="498">
      <c r="A498" s="85"/>
      <c r="B498" s="85"/>
      <c r="C498" s="85"/>
      <c r="D498" s="85"/>
      <c r="E498" s="85"/>
      <c r="F498" s="85"/>
    </row>
    <row r="499">
      <c r="A499" s="85"/>
      <c r="B499" s="85"/>
      <c r="C499" s="85"/>
      <c r="D499" s="85"/>
      <c r="E499" s="85"/>
      <c r="F499" s="85"/>
    </row>
    <row r="500">
      <c r="A500" s="85"/>
      <c r="B500" s="85"/>
      <c r="C500" s="85"/>
      <c r="D500" s="85"/>
      <c r="E500" s="85"/>
      <c r="F500" s="85"/>
    </row>
    <row r="501">
      <c r="A501" s="85"/>
      <c r="B501" s="85"/>
      <c r="C501" s="85"/>
      <c r="D501" s="85"/>
      <c r="E501" s="85"/>
      <c r="F501" s="85"/>
    </row>
    <row r="502">
      <c r="A502" s="85"/>
      <c r="B502" s="85"/>
      <c r="C502" s="85"/>
      <c r="D502" s="85"/>
      <c r="E502" s="85"/>
      <c r="F502" s="85"/>
    </row>
    <row r="503">
      <c r="A503" s="85"/>
      <c r="B503" s="85"/>
      <c r="C503" s="85"/>
      <c r="D503" s="85"/>
      <c r="E503" s="85"/>
      <c r="F503" s="85"/>
    </row>
    <row r="504">
      <c r="A504" s="85"/>
      <c r="B504" s="85"/>
      <c r="C504" s="85"/>
      <c r="D504" s="85"/>
      <c r="E504" s="85"/>
      <c r="F504" s="85"/>
    </row>
    <row r="505">
      <c r="A505" s="85"/>
      <c r="B505" s="85"/>
      <c r="C505" s="85"/>
      <c r="D505" s="85"/>
      <c r="E505" s="85"/>
      <c r="F505" s="85"/>
    </row>
    <row r="506">
      <c r="A506" s="85"/>
      <c r="B506" s="85"/>
      <c r="C506" s="85"/>
      <c r="D506" s="85"/>
      <c r="E506" s="85"/>
      <c r="F506" s="85"/>
    </row>
    <row r="507">
      <c r="A507" s="85"/>
      <c r="B507" s="85"/>
      <c r="C507" s="85"/>
      <c r="D507" s="85"/>
      <c r="E507" s="85"/>
      <c r="F507" s="85"/>
    </row>
    <row r="508">
      <c r="A508" s="85"/>
      <c r="B508" s="85"/>
      <c r="C508" s="85"/>
      <c r="D508" s="85"/>
      <c r="E508" s="85"/>
      <c r="F508" s="85"/>
    </row>
    <row r="509">
      <c r="A509" s="85"/>
      <c r="B509" s="85"/>
      <c r="C509" s="85"/>
      <c r="D509" s="85"/>
      <c r="E509" s="85"/>
      <c r="F509" s="85"/>
    </row>
    <row r="510">
      <c r="A510" s="85"/>
      <c r="B510" s="85"/>
      <c r="C510" s="85"/>
      <c r="D510" s="85"/>
      <c r="E510" s="85"/>
      <c r="F510" s="85"/>
    </row>
    <row r="511">
      <c r="A511" s="85"/>
      <c r="B511" s="85"/>
      <c r="C511" s="85"/>
      <c r="D511" s="85"/>
      <c r="E511" s="85"/>
      <c r="F511" s="85"/>
    </row>
    <row r="512">
      <c r="A512" s="85"/>
      <c r="B512" s="85"/>
      <c r="C512" s="85"/>
      <c r="D512" s="85"/>
      <c r="E512" s="85"/>
      <c r="F512" s="85"/>
    </row>
    <row r="513">
      <c r="A513" s="85"/>
      <c r="B513" s="85"/>
      <c r="C513" s="85"/>
      <c r="D513" s="85"/>
      <c r="E513" s="85"/>
      <c r="F513" s="85"/>
    </row>
    <row r="514">
      <c r="A514" s="85"/>
      <c r="B514" s="85"/>
      <c r="C514" s="85"/>
      <c r="D514" s="85"/>
      <c r="E514" s="85"/>
      <c r="F514" s="85"/>
    </row>
    <row r="515">
      <c r="A515" s="85"/>
      <c r="B515" s="85"/>
      <c r="C515" s="85"/>
      <c r="D515" s="85"/>
      <c r="E515" s="85"/>
      <c r="F515" s="85"/>
    </row>
    <row r="516">
      <c r="A516" s="85"/>
      <c r="B516" s="85"/>
      <c r="C516" s="85"/>
      <c r="D516" s="85"/>
      <c r="E516" s="85"/>
      <c r="F516" s="85"/>
    </row>
    <row r="517">
      <c r="A517" s="85"/>
      <c r="B517" s="85"/>
      <c r="C517" s="85"/>
      <c r="D517" s="85"/>
      <c r="E517" s="85"/>
      <c r="F517" s="85"/>
    </row>
    <row r="518">
      <c r="A518" s="85"/>
      <c r="B518" s="85"/>
      <c r="C518" s="85"/>
      <c r="D518" s="85"/>
      <c r="E518" s="85"/>
      <c r="F518" s="85"/>
    </row>
    <row r="519">
      <c r="A519" s="85"/>
      <c r="B519" s="85"/>
      <c r="C519" s="85"/>
      <c r="D519" s="85"/>
      <c r="E519" s="85"/>
      <c r="F519" s="85"/>
    </row>
    <row r="520">
      <c r="A520" s="85"/>
      <c r="B520" s="85"/>
      <c r="C520" s="85"/>
      <c r="D520" s="85"/>
      <c r="E520" s="85"/>
      <c r="F520" s="85"/>
    </row>
    <row r="521">
      <c r="A521" s="85"/>
      <c r="B521" s="85"/>
      <c r="C521" s="85"/>
      <c r="D521" s="85"/>
      <c r="E521" s="85"/>
      <c r="F521" s="85"/>
    </row>
    <row r="522">
      <c r="A522" s="85"/>
      <c r="B522" s="85"/>
      <c r="C522" s="85"/>
      <c r="D522" s="85"/>
      <c r="E522" s="85"/>
      <c r="F522" s="85"/>
    </row>
    <row r="523">
      <c r="A523" s="85"/>
      <c r="B523" s="85"/>
      <c r="C523" s="85"/>
      <c r="D523" s="85"/>
      <c r="E523" s="85"/>
      <c r="F523" s="85"/>
    </row>
    <row r="524">
      <c r="A524" s="85"/>
      <c r="B524" s="85"/>
      <c r="C524" s="85"/>
      <c r="D524" s="85"/>
      <c r="E524" s="85"/>
      <c r="F524" s="85"/>
    </row>
    <row r="525">
      <c r="A525" s="85"/>
      <c r="B525" s="85"/>
      <c r="C525" s="85"/>
      <c r="D525" s="85"/>
      <c r="E525" s="85"/>
      <c r="F525" s="85"/>
    </row>
    <row r="526">
      <c r="A526" s="85"/>
      <c r="B526" s="85"/>
      <c r="C526" s="85"/>
      <c r="D526" s="85"/>
      <c r="E526" s="85"/>
      <c r="F526" s="85"/>
    </row>
    <row r="527">
      <c r="A527" s="85"/>
      <c r="B527" s="85"/>
      <c r="C527" s="85"/>
      <c r="D527" s="85"/>
      <c r="E527" s="85"/>
      <c r="F527" s="85"/>
    </row>
    <row r="528">
      <c r="A528" s="85"/>
      <c r="B528" s="85"/>
      <c r="C528" s="85"/>
      <c r="D528" s="85"/>
      <c r="E528" s="85"/>
      <c r="F528" s="85"/>
    </row>
    <row r="529">
      <c r="A529" s="85"/>
      <c r="B529" s="85"/>
      <c r="C529" s="85"/>
      <c r="D529" s="85"/>
      <c r="E529" s="85"/>
      <c r="F529" s="85"/>
    </row>
    <row r="530">
      <c r="A530" s="85"/>
      <c r="B530" s="85"/>
      <c r="C530" s="85"/>
      <c r="D530" s="85"/>
      <c r="E530" s="85"/>
      <c r="F530" s="85"/>
    </row>
    <row r="531">
      <c r="A531" s="85"/>
      <c r="B531" s="85"/>
      <c r="C531" s="85"/>
      <c r="D531" s="85"/>
      <c r="E531" s="85"/>
      <c r="F531" s="85"/>
    </row>
    <row r="532">
      <c r="A532" s="85"/>
      <c r="B532" s="85"/>
      <c r="C532" s="85"/>
      <c r="D532" s="85"/>
      <c r="E532" s="85"/>
      <c r="F532" s="85"/>
    </row>
    <row r="533">
      <c r="A533" s="85"/>
      <c r="B533" s="85"/>
      <c r="C533" s="85"/>
      <c r="D533" s="85"/>
      <c r="E533" s="85"/>
      <c r="F533" s="85"/>
    </row>
    <row r="534">
      <c r="A534" s="85"/>
      <c r="B534" s="85"/>
      <c r="C534" s="85"/>
      <c r="D534" s="85"/>
      <c r="E534" s="85"/>
      <c r="F534" s="85"/>
    </row>
    <row r="535">
      <c r="A535" s="85"/>
      <c r="B535" s="85"/>
      <c r="C535" s="85"/>
      <c r="D535" s="85"/>
      <c r="E535" s="85"/>
      <c r="F535" s="85"/>
    </row>
    <row r="536">
      <c r="A536" s="85"/>
      <c r="B536" s="85"/>
      <c r="C536" s="85"/>
      <c r="D536" s="85"/>
      <c r="E536" s="85"/>
      <c r="F536" s="85"/>
    </row>
    <row r="537">
      <c r="A537" s="85"/>
      <c r="B537" s="85"/>
      <c r="C537" s="85"/>
      <c r="D537" s="85"/>
      <c r="E537" s="85"/>
      <c r="F537" s="85"/>
    </row>
    <row r="538">
      <c r="A538" s="85"/>
      <c r="B538" s="85"/>
      <c r="C538" s="85"/>
      <c r="D538" s="85"/>
      <c r="E538" s="85"/>
      <c r="F538" s="85"/>
    </row>
    <row r="539">
      <c r="A539" s="85"/>
      <c r="B539" s="85"/>
      <c r="C539" s="85"/>
      <c r="D539" s="85"/>
      <c r="E539" s="85"/>
      <c r="F539" s="85"/>
    </row>
    <row r="540">
      <c r="A540" s="85"/>
      <c r="B540" s="85"/>
      <c r="C540" s="85"/>
      <c r="D540" s="85"/>
      <c r="E540" s="85"/>
      <c r="F540" s="85"/>
    </row>
    <row r="541">
      <c r="A541" s="85"/>
      <c r="B541" s="85"/>
      <c r="C541" s="85"/>
      <c r="D541" s="85"/>
      <c r="E541" s="85"/>
      <c r="F541" s="85"/>
    </row>
    <row r="542">
      <c r="A542" s="85"/>
      <c r="B542" s="85"/>
      <c r="C542" s="85"/>
      <c r="D542" s="85"/>
      <c r="E542" s="85"/>
      <c r="F542" s="85"/>
    </row>
    <row r="543">
      <c r="A543" s="85"/>
      <c r="B543" s="85"/>
      <c r="C543" s="85"/>
      <c r="D543" s="85"/>
      <c r="E543" s="85"/>
      <c r="F543" s="85"/>
    </row>
    <row r="544">
      <c r="A544" s="85"/>
      <c r="B544" s="85"/>
      <c r="C544" s="85"/>
      <c r="D544" s="85"/>
      <c r="E544" s="85"/>
      <c r="F544" s="85"/>
    </row>
    <row r="545">
      <c r="A545" s="85"/>
      <c r="B545" s="85"/>
      <c r="C545" s="85"/>
      <c r="D545" s="85"/>
      <c r="E545" s="85"/>
      <c r="F545" s="85"/>
    </row>
    <row r="546">
      <c r="A546" s="85"/>
      <c r="B546" s="85"/>
      <c r="C546" s="85"/>
      <c r="D546" s="85"/>
      <c r="E546" s="85"/>
      <c r="F546" s="85"/>
    </row>
    <row r="547">
      <c r="A547" s="85"/>
      <c r="B547" s="85"/>
      <c r="C547" s="85"/>
      <c r="D547" s="85"/>
      <c r="E547" s="85"/>
      <c r="F547" s="85"/>
    </row>
    <row r="548">
      <c r="A548" s="85"/>
      <c r="B548" s="85"/>
      <c r="C548" s="85"/>
      <c r="D548" s="85"/>
      <c r="E548" s="85"/>
      <c r="F548" s="85"/>
    </row>
    <row r="549">
      <c r="A549" s="85"/>
      <c r="B549" s="85"/>
      <c r="C549" s="85"/>
      <c r="D549" s="85"/>
      <c r="E549" s="85"/>
      <c r="F549" s="85"/>
    </row>
    <row r="550">
      <c r="A550" s="85"/>
      <c r="B550" s="85"/>
      <c r="C550" s="85"/>
      <c r="D550" s="85"/>
      <c r="E550" s="85"/>
      <c r="F550" s="85"/>
    </row>
    <row r="551">
      <c r="A551" s="85"/>
      <c r="B551" s="85"/>
      <c r="C551" s="85"/>
      <c r="D551" s="85"/>
      <c r="E551" s="85"/>
      <c r="F551" s="85"/>
    </row>
    <row r="552">
      <c r="A552" s="85"/>
      <c r="B552" s="85"/>
      <c r="C552" s="85"/>
      <c r="D552" s="85"/>
      <c r="E552" s="85"/>
      <c r="F552" s="85"/>
    </row>
    <row r="553">
      <c r="A553" s="85"/>
      <c r="B553" s="85"/>
      <c r="C553" s="85"/>
      <c r="D553" s="85"/>
      <c r="E553" s="85"/>
      <c r="F553" s="85"/>
    </row>
    <row r="554">
      <c r="A554" s="85"/>
      <c r="B554" s="85"/>
      <c r="C554" s="85"/>
      <c r="D554" s="85"/>
      <c r="E554" s="85"/>
      <c r="F554" s="85"/>
    </row>
    <row r="555">
      <c r="A555" s="85"/>
      <c r="B555" s="85"/>
      <c r="C555" s="85"/>
      <c r="D555" s="85"/>
      <c r="E555" s="85"/>
      <c r="F555" s="85"/>
    </row>
    <row r="556">
      <c r="A556" s="85"/>
      <c r="B556" s="85"/>
      <c r="C556" s="85"/>
      <c r="D556" s="85"/>
      <c r="E556" s="85"/>
      <c r="F556" s="85"/>
    </row>
    <row r="557">
      <c r="A557" s="85"/>
      <c r="B557" s="85"/>
      <c r="C557" s="85"/>
      <c r="D557" s="85"/>
      <c r="E557" s="85"/>
      <c r="F557" s="85"/>
    </row>
    <row r="558">
      <c r="A558" s="85"/>
      <c r="B558" s="85"/>
      <c r="C558" s="85"/>
      <c r="D558" s="85"/>
      <c r="E558" s="85"/>
      <c r="F558" s="85"/>
    </row>
    <row r="559">
      <c r="A559" s="85"/>
      <c r="B559" s="85"/>
      <c r="C559" s="85"/>
      <c r="D559" s="85"/>
      <c r="E559" s="85"/>
      <c r="F559" s="85"/>
    </row>
    <row r="560">
      <c r="A560" s="85"/>
      <c r="B560" s="85"/>
      <c r="C560" s="85"/>
      <c r="D560" s="85"/>
      <c r="E560" s="85"/>
      <c r="F560" s="85"/>
    </row>
    <row r="561">
      <c r="A561" s="85"/>
      <c r="B561" s="85"/>
      <c r="C561" s="85"/>
      <c r="D561" s="85"/>
      <c r="E561" s="85"/>
      <c r="F561" s="85"/>
    </row>
    <row r="562">
      <c r="A562" s="85"/>
      <c r="B562" s="85"/>
      <c r="C562" s="85"/>
      <c r="D562" s="85"/>
      <c r="E562" s="85"/>
      <c r="F562" s="85"/>
    </row>
    <row r="563">
      <c r="A563" s="85"/>
      <c r="B563" s="85"/>
      <c r="C563" s="85"/>
      <c r="D563" s="85"/>
      <c r="E563" s="85"/>
      <c r="F563" s="85"/>
    </row>
    <row r="564">
      <c r="A564" s="85"/>
      <c r="B564" s="85"/>
      <c r="C564" s="85"/>
      <c r="D564" s="85"/>
      <c r="E564" s="85"/>
      <c r="F564" s="85"/>
    </row>
    <row r="565">
      <c r="A565" s="85"/>
      <c r="B565" s="85"/>
      <c r="C565" s="85"/>
      <c r="D565" s="85"/>
      <c r="E565" s="85"/>
      <c r="F565" s="85"/>
    </row>
    <row r="566">
      <c r="A566" s="85"/>
      <c r="B566" s="85"/>
      <c r="C566" s="85"/>
      <c r="D566" s="85"/>
      <c r="E566" s="85"/>
      <c r="F566" s="85"/>
    </row>
    <row r="567">
      <c r="A567" s="85"/>
      <c r="B567" s="85"/>
      <c r="C567" s="85"/>
      <c r="D567" s="85"/>
      <c r="E567" s="85"/>
      <c r="F567" s="85"/>
    </row>
    <row r="568">
      <c r="A568" s="85"/>
      <c r="B568" s="85"/>
      <c r="C568" s="85"/>
      <c r="D568" s="85"/>
      <c r="E568" s="85"/>
      <c r="F568" s="85"/>
    </row>
    <row r="569">
      <c r="A569" s="85"/>
      <c r="B569" s="85"/>
      <c r="C569" s="85"/>
      <c r="D569" s="85"/>
      <c r="E569" s="85"/>
      <c r="F569" s="85"/>
    </row>
    <row r="570">
      <c r="A570" s="85"/>
      <c r="B570" s="85"/>
      <c r="C570" s="85"/>
      <c r="D570" s="85"/>
      <c r="E570" s="85"/>
      <c r="F570" s="85"/>
    </row>
    <row r="571">
      <c r="A571" s="85"/>
      <c r="B571" s="85"/>
      <c r="C571" s="85"/>
      <c r="D571" s="85"/>
      <c r="E571" s="85"/>
      <c r="F571" s="85"/>
    </row>
    <row r="572">
      <c r="A572" s="85"/>
      <c r="B572" s="85"/>
      <c r="C572" s="85"/>
      <c r="D572" s="85"/>
      <c r="E572" s="85"/>
      <c r="F572" s="85"/>
    </row>
    <row r="573">
      <c r="A573" s="85"/>
      <c r="B573" s="85"/>
      <c r="C573" s="85"/>
      <c r="D573" s="85"/>
      <c r="E573" s="85"/>
      <c r="F573" s="85"/>
    </row>
    <row r="574">
      <c r="A574" s="85"/>
      <c r="B574" s="85"/>
      <c r="C574" s="85"/>
      <c r="D574" s="85"/>
      <c r="E574" s="85"/>
      <c r="F574" s="85"/>
    </row>
    <row r="575">
      <c r="A575" s="85"/>
      <c r="B575" s="85"/>
      <c r="C575" s="85"/>
      <c r="D575" s="85"/>
      <c r="E575" s="85"/>
      <c r="F575" s="85"/>
    </row>
    <row r="576">
      <c r="A576" s="85"/>
      <c r="B576" s="85"/>
      <c r="C576" s="85"/>
      <c r="D576" s="85"/>
      <c r="E576" s="85"/>
      <c r="F576" s="85"/>
    </row>
    <row r="577">
      <c r="A577" s="85"/>
      <c r="B577" s="85"/>
      <c r="C577" s="85"/>
      <c r="D577" s="85"/>
      <c r="E577" s="85"/>
      <c r="F577" s="85"/>
    </row>
    <row r="578">
      <c r="A578" s="85"/>
      <c r="B578" s="85"/>
      <c r="C578" s="85"/>
      <c r="D578" s="85"/>
      <c r="E578" s="85"/>
      <c r="F578" s="85"/>
    </row>
    <row r="579">
      <c r="A579" s="85"/>
      <c r="B579" s="85"/>
      <c r="C579" s="85"/>
      <c r="D579" s="85"/>
      <c r="E579" s="85"/>
      <c r="F579" s="85"/>
    </row>
    <row r="580">
      <c r="A580" s="85"/>
      <c r="B580" s="85"/>
      <c r="C580" s="85"/>
      <c r="D580" s="85"/>
      <c r="E580" s="85"/>
      <c r="F580" s="85"/>
    </row>
    <row r="581">
      <c r="A581" s="85"/>
      <c r="B581" s="85"/>
      <c r="C581" s="85"/>
      <c r="D581" s="85"/>
      <c r="E581" s="85"/>
      <c r="F581" s="85"/>
    </row>
    <row r="582">
      <c r="A582" s="85"/>
      <c r="B582" s="85"/>
      <c r="C582" s="85"/>
      <c r="D582" s="85"/>
      <c r="E582" s="85"/>
      <c r="F582" s="85"/>
    </row>
    <row r="583">
      <c r="A583" s="85"/>
      <c r="B583" s="85"/>
      <c r="C583" s="85"/>
      <c r="D583" s="85"/>
      <c r="E583" s="85"/>
      <c r="F583" s="85"/>
    </row>
    <row r="584">
      <c r="A584" s="85"/>
      <c r="B584" s="85"/>
      <c r="C584" s="85"/>
      <c r="D584" s="85"/>
      <c r="E584" s="85"/>
      <c r="F584" s="85"/>
    </row>
    <row r="585">
      <c r="A585" s="85"/>
      <c r="B585" s="85"/>
      <c r="C585" s="85"/>
      <c r="D585" s="85"/>
      <c r="E585" s="85"/>
      <c r="F585" s="85"/>
    </row>
    <row r="586">
      <c r="A586" s="85"/>
      <c r="B586" s="85"/>
      <c r="C586" s="85"/>
      <c r="D586" s="85"/>
      <c r="E586" s="85"/>
      <c r="F586" s="85"/>
    </row>
    <row r="587">
      <c r="A587" s="85"/>
      <c r="B587" s="85"/>
      <c r="C587" s="85"/>
      <c r="D587" s="85"/>
      <c r="E587" s="85"/>
      <c r="F587" s="85"/>
    </row>
    <row r="588">
      <c r="A588" s="85"/>
      <c r="B588" s="85"/>
      <c r="C588" s="85"/>
      <c r="D588" s="85"/>
      <c r="E588" s="85"/>
      <c r="F588" s="85"/>
    </row>
    <row r="589">
      <c r="A589" s="85"/>
      <c r="B589" s="85"/>
      <c r="C589" s="85"/>
      <c r="D589" s="85"/>
      <c r="E589" s="85"/>
      <c r="F589" s="85"/>
    </row>
    <row r="590">
      <c r="A590" s="85"/>
      <c r="B590" s="85"/>
      <c r="C590" s="85"/>
      <c r="D590" s="85"/>
      <c r="E590" s="85"/>
      <c r="F590" s="85"/>
    </row>
    <row r="591">
      <c r="A591" s="85"/>
      <c r="B591" s="85"/>
      <c r="C591" s="85"/>
      <c r="D591" s="85"/>
      <c r="E591" s="85"/>
      <c r="F591" s="85"/>
    </row>
    <row r="592">
      <c r="A592" s="85"/>
      <c r="B592" s="85"/>
      <c r="C592" s="85"/>
      <c r="D592" s="85"/>
      <c r="E592" s="85"/>
      <c r="F592" s="85"/>
    </row>
    <row r="593">
      <c r="A593" s="85"/>
      <c r="B593" s="85"/>
      <c r="C593" s="85"/>
      <c r="D593" s="85"/>
      <c r="E593" s="85"/>
      <c r="F593" s="85"/>
    </row>
    <row r="594">
      <c r="A594" s="85"/>
      <c r="B594" s="85"/>
      <c r="C594" s="85"/>
      <c r="D594" s="85"/>
      <c r="E594" s="85"/>
      <c r="F594" s="85"/>
    </row>
    <row r="595">
      <c r="A595" s="85"/>
      <c r="B595" s="85"/>
      <c r="C595" s="85"/>
      <c r="D595" s="85"/>
      <c r="E595" s="85"/>
      <c r="F595" s="85"/>
    </row>
    <row r="596">
      <c r="A596" s="85"/>
      <c r="B596" s="85"/>
      <c r="C596" s="85"/>
      <c r="D596" s="85"/>
      <c r="E596" s="85"/>
      <c r="F596" s="85"/>
    </row>
    <row r="597">
      <c r="A597" s="85"/>
      <c r="B597" s="85"/>
      <c r="C597" s="85"/>
      <c r="D597" s="85"/>
      <c r="E597" s="85"/>
      <c r="F597" s="85"/>
    </row>
    <row r="598">
      <c r="A598" s="85"/>
      <c r="B598" s="85"/>
      <c r="C598" s="85"/>
      <c r="D598" s="85"/>
      <c r="E598" s="85"/>
      <c r="F598" s="85"/>
    </row>
    <row r="599">
      <c r="A599" s="85"/>
      <c r="B599" s="85"/>
      <c r="C599" s="85"/>
      <c r="D599" s="85"/>
      <c r="E599" s="85"/>
      <c r="F599" s="85"/>
    </row>
    <row r="600">
      <c r="A600" s="85"/>
      <c r="B600" s="85"/>
      <c r="C600" s="85"/>
      <c r="D600" s="85"/>
      <c r="E600" s="85"/>
      <c r="F600" s="85"/>
    </row>
    <row r="601">
      <c r="A601" s="85"/>
      <c r="B601" s="85"/>
      <c r="C601" s="85"/>
      <c r="D601" s="85"/>
      <c r="E601" s="85"/>
      <c r="F601" s="85"/>
    </row>
    <row r="602">
      <c r="A602" s="85"/>
      <c r="B602" s="85"/>
      <c r="C602" s="85"/>
      <c r="D602" s="85"/>
      <c r="E602" s="85"/>
      <c r="F602" s="85"/>
    </row>
    <row r="603">
      <c r="A603" s="85"/>
      <c r="B603" s="85"/>
      <c r="C603" s="85"/>
      <c r="D603" s="85"/>
      <c r="E603" s="85"/>
      <c r="F603" s="85"/>
    </row>
    <row r="604">
      <c r="A604" s="85"/>
      <c r="B604" s="85"/>
      <c r="C604" s="85"/>
      <c r="D604" s="85"/>
      <c r="E604" s="85"/>
      <c r="F604" s="85"/>
    </row>
    <row r="605">
      <c r="A605" s="85"/>
      <c r="B605" s="85"/>
      <c r="C605" s="85"/>
      <c r="D605" s="85"/>
      <c r="E605" s="85"/>
      <c r="F605" s="85"/>
    </row>
    <row r="606">
      <c r="A606" s="85"/>
      <c r="B606" s="85"/>
      <c r="C606" s="85"/>
      <c r="D606" s="85"/>
      <c r="E606" s="85"/>
      <c r="F606" s="85"/>
    </row>
    <row r="607">
      <c r="A607" s="85"/>
      <c r="B607" s="85"/>
      <c r="C607" s="85"/>
      <c r="D607" s="85"/>
      <c r="E607" s="85"/>
      <c r="F607" s="85"/>
    </row>
    <row r="608">
      <c r="A608" s="85"/>
      <c r="B608" s="85"/>
      <c r="C608" s="85"/>
      <c r="D608" s="85"/>
      <c r="E608" s="85"/>
      <c r="F608" s="85"/>
    </row>
    <row r="609">
      <c r="A609" s="85"/>
      <c r="B609" s="85"/>
      <c r="C609" s="85"/>
      <c r="D609" s="85"/>
      <c r="E609" s="85"/>
      <c r="F609" s="85"/>
    </row>
    <row r="610">
      <c r="A610" s="85"/>
      <c r="B610" s="85"/>
      <c r="C610" s="85"/>
      <c r="D610" s="85"/>
      <c r="E610" s="85"/>
      <c r="F610" s="85"/>
    </row>
    <row r="611">
      <c r="A611" s="85"/>
      <c r="B611" s="85"/>
      <c r="C611" s="85"/>
      <c r="D611" s="85"/>
      <c r="E611" s="85"/>
      <c r="F611" s="85"/>
    </row>
    <row r="612">
      <c r="A612" s="85"/>
      <c r="B612" s="85"/>
      <c r="C612" s="85"/>
      <c r="D612" s="85"/>
      <c r="E612" s="85"/>
      <c r="F612" s="85"/>
    </row>
    <row r="613">
      <c r="A613" s="85"/>
      <c r="B613" s="85"/>
      <c r="C613" s="85"/>
      <c r="D613" s="85"/>
      <c r="E613" s="85"/>
      <c r="F613" s="85"/>
    </row>
    <row r="614">
      <c r="A614" s="85"/>
      <c r="B614" s="85"/>
      <c r="C614" s="85"/>
      <c r="D614" s="85"/>
      <c r="E614" s="85"/>
      <c r="F614" s="85"/>
    </row>
    <row r="615">
      <c r="A615" s="85"/>
      <c r="B615" s="85"/>
      <c r="C615" s="85"/>
      <c r="D615" s="85"/>
      <c r="E615" s="85"/>
      <c r="F615" s="85"/>
    </row>
    <row r="616">
      <c r="A616" s="85"/>
      <c r="B616" s="85"/>
      <c r="C616" s="85"/>
      <c r="D616" s="85"/>
      <c r="E616" s="85"/>
      <c r="F616" s="85"/>
    </row>
    <row r="617">
      <c r="A617" s="85"/>
      <c r="B617" s="85"/>
      <c r="C617" s="85"/>
      <c r="D617" s="85"/>
      <c r="E617" s="85"/>
      <c r="F617" s="85"/>
    </row>
    <row r="618">
      <c r="A618" s="85"/>
      <c r="B618" s="85"/>
      <c r="C618" s="85"/>
      <c r="D618" s="85"/>
      <c r="E618" s="85"/>
      <c r="F618" s="85"/>
    </row>
    <row r="619">
      <c r="A619" s="85"/>
      <c r="B619" s="85"/>
      <c r="C619" s="85"/>
      <c r="D619" s="85"/>
      <c r="E619" s="85"/>
      <c r="F619" s="85"/>
    </row>
    <row r="620">
      <c r="A620" s="85"/>
      <c r="B620" s="85"/>
      <c r="C620" s="85"/>
      <c r="D620" s="85"/>
      <c r="E620" s="85"/>
      <c r="F620" s="85"/>
    </row>
    <row r="621">
      <c r="A621" s="85"/>
      <c r="B621" s="85"/>
      <c r="C621" s="85"/>
      <c r="D621" s="85"/>
      <c r="E621" s="85"/>
      <c r="F621" s="85"/>
    </row>
    <row r="622">
      <c r="A622" s="85"/>
      <c r="B622" s="85"/>
      <c r="C622" s="85"/>
      <c r="D622" s="85"/>
      <c r="E622" s="85"/>
      <c r="F622" s="85"/>
    </row>
    <row r="623">
      <c r="A623" s="85"/>
      <c r="B623" s="85"/>
      <c r="C623" s="85"/>
      <c r="D623" s="85"/>
      <c r="E623" s="85"/>
      <c r="F623" s="85"/>
    </row>
    <row r="624">
      <c r="A624" s="85"/>
      <c r="B624" s="85"/>
      <c r="C624" s="85"/>
      <c r="D624" s="85"/>
      <c r="E624" s="85"/>
      <c r="F624" s="85"/>
    </row>
    <row r="625">
      <c r="A625" s="85"/>
      <c r="B625" s="85"/>
      <c r="C625" s="85"/>
      <c r="D625" s="85"/>
      <c r="E625" s="85"/>
      <c r="F625" s="85"/>
    </row>
    <row r="626">
      <c r="A626" s="85"/>
      <c r="B626" s="85"/>
      <c r="C626" s="85"/>
      <c r="D626" s="85"/>
      <c r="E626" s="85"/>
      <c r="F626" s="85"/>
    </row>
    <row r="627">
      <c r="A627" s="85"/>
      <c r="B627" s="85"/>
      <c r="C627" s="85"/>
      <c r="D627" s="85"/>
      <c r="E627" s="85"/>
      <c r="F627" s="85"/>
    </row>
    <row r="628">
      <c r="A628" s="85"/>
      <c r="B628" s="85"/>
      <c r="C628" s="85"/>
      <c r="D628" s="85"/>
      <c r="E628" s="85"/>
      <c r="F628" s="85"/>
    </row>
    <row r="629">
      <c r="A629" s="85"/>
      <c r="B629" s="85"/>
      <c r="C629" s="85"/>
      <c r="D629" s="85"/>
      <c r="E629" s="85"/>
      <c r="F629" s="85"/>
    </row>
    <row r="630">
      <c r="A630" s="85"/>
      <c r="B630" s="85"/>
      <c r="C630" s="85"/>
      <c r="D630" s="85"/>
      <c r="E630" s="85"/>
      <c r="F630" s="85"/>
    </row>
    <row r="631">
      <c r="A631" s="85"/>
      <c r="B631" s="85"/>
      <c r="C631" s="85"/>
      <c r="D631" s="85"/>
      <c r="E631" s="85"/>
      <c r="F631" s="85"/>
    </row>
    <row r="632">
      <c r="A632" s="85"/>
      <c r="B632" s="85"/>
      <c r="C632" s="85"/>
      <c r="D632" s="85"/>
      <c r="E632" s="85"/>
      <c r="F632" s="85"/>
    </row>
    <row r="633">
      <c r="A633" s="85"/>
      <c r="B633" s="85"/>
      <c r="C633" s="85"/>
      <c r="D633" s="85"/>
      <c r="E633" s="85"/>
      <c r="F633" s="85"/>
    </row>
    <row r="634">
      <c r="A634" s="85"/>
      <c r="B634" s="85"/>
      <c r="C634" s="85"/>
      <c r="D634" s="85"/>
      <c r="E634" s="85"/>
      <c r="F634" s="85"/>
    </row>
    <row r="635">
      <c r="A635" s="85"/>
      <c r="B635" s="85"/>
      <c r="C635" s="85"/>
      <c r="D635" s="85"/>
      <c r="E635" s="85"/>
      <c r="F635" s="85"/>
    </row>
    <row r="636">
      <c r="A636" s="85"/>
      <c r="B636" s="85"/>
      <c r="C636" s="85"/>
      <c r="D636" s="85"/>
      <c r="E636" s="85"/>
      <c r="F636" s="85"/>
    </row>
    <row r="637">
      <c r="A637" s="85"/>
      <c r="B637" s="85"/>
      <c r="C637" s="85"/>
      <c r="D637" s="85"/>
      <c r="E637" s="85"/>
      <c r="F637" s="85"/>
    </row>
    <row r="638">
      <c r="A638" s="85"/>
      <c r="B638" s="85"/>
      <c r="C638" s="85"/>
      <c r="D638" s="85"/>
      <c r="E638" s="85"/>
      <c r="F638" s="85"/>
    </row>
    <row r="639">
      <c r="A639" s="85"/>
      <c r="B639" s="85"/>
      <c r="C639" s="85"/>
      <c r="D639" s="85"/>
      <c r="E639" s="85"/>
      <c r="F639" s="85"/>
    </row>
    <row r="640">
      <c r="A640" s="85"/>
      <c r="B640" s="85"/>
      <c r="C640" s="85"/>
      <c r="D640" s="85"/>
      <c r="E640" s="85"/>
      <c r="F640" s="85"/>
    </row>
    <row r="641">
      <c r="A641" s="85"/>
      <c r="B641" s="85"/>
      <c r="C641" s="85"/>
      <c r="D641" s="85"/>
      <c r="E641" s="85"/>
      <c r="F641" s="85"/>
    </row>
    <row r="642">
      <c r="A642" s="85"/>
      <c r="B642" s="85"/>
      <c r="C642" s="85"/>
      <c r="D642" s="85"/>
      <c r="E642" s="85"/>
      <c r="F642" s="85"/>
    </row>
    <row r="643">
      <c r="A643" s="85"/>
      <c r="B643" s="85"/>
      <c r="C643" s="85"/>
      <c r="D643" s="85"/>
      <c r="E643" s="85"/>
      <c r="F643" s="85"/>
    </row>
    <row r="644">
      <c r="A644" s="85"/>
      <c r="B644" s="85"/>
      <c r="C644" s="85"/>
      <c r="D644" s="85"/>
      <c r="E644" s="85"/>
      <c r="F644" s="85"/>
    </row>
    <row r="645">
      <c r="A645" s="85"/>
      <c r="B645" s="85"/>
      <c r="C645" s="85"/>
      <c r="D645" s="85"/>
      <c r="E645" s="85"/>
      <c r="F645" s="85"/>
    </row>
    <row r="646">
      <c r="A646" s="85"/>
      <c r="B646" s="85"/>
      <c r="C646" s="85"/>
      <c r="D646" s="85"/>
      <c r="E646" s="85"/>
      <c r="F646" s="85"/>
    </row>
    <row r="647">
      <c r="A647" s="85"/>
      <c r="B647" s="85"/>
      <c r="C647" s="85"/>
      <c r="D647" s="85"/>
      <c r="E647" s="85"/>
      <c r="F647" s="85"/>
    </row>
    <row r="648">
      <c r="A648" s="85"/>
      <c r="B648" s="85"/>
      <c r="C648" s="85"/>
      <c r="D648" s="85"/>
      <c r="E648" s="85"/>
      <c r="F648" s="85"/>
    </row>
    <row r="649">
      <c r="A649" s="85"/>
      <c r="B649" s="85"/>
      <c r="C649" s="85"/>
      <c r="D649" s="85"/>
      <c r="E649" s="85"/>
      <c r="F649" s="85"/>
    </row>
    <row r="650">
      <c r="A650" s="85"/>
      <c r="B650" s="85"/>
      <c r="C650" s="85"/>
      <c r="D650" s="85"/>
      <c r="E650" s="85"/>
      <c r="F650" s="85"/>
    </row>
    <row r="651">
      <c r="A651" s="85"/>
      <c r="B651" s="85"/>
      <c r="C651" s="85"/>
      <c r="D651" s="85"/>
      <c r="E651" s="85"/>
      <c r="F651" s="85"/>
    </row>
    <row r="652">
      <c r="A652" s="85"/>
      <c r="B652" s="85"/>
      <c r="C652" s="85"/>
      <c r="D652" s="85"/>
      <c r="E652" s="85"/>
      <c r="F652" s="85"/>
    </row>
    <row r="653">
      <c r="A653" s="85"/>
      <c r="B653" s="85"/>
      <c r="C653" s="85"/>
      <c r="D653" s="85"/>
      <c r="E653" s="85"/>
      <c r="F653" s="85"/>
    </row>
    <row r="654">
      <c r="A654" s="85"/>
      <c r="B654" s="85"/>
      <c r="C654" s="85"/>
      <c r="D654" s="85"/>
      <c r="E654" s="85"/>
      <c r="F654" s="85"/>
    </row>
    <row r="655">
      <c r="A655" s="85"/>
      <c r="B655" s="85"/>
      <c r="C655" s="85"/>
      <c r="D655" s="85"/>
      <c r="E655" s="85"/>
      <c r="F655" s="85"/>
    </row>
    <row r="656">
      <c r="A656" s="85"/>
      <c r="B656" s="85"/>
      <c r="C656" s="85"/>
      <c r="D656" s="85"/>
      <c r="E656" s="85"/>
      <c r="F656" s="85"/>
    </row>
    <row r="657">
      <c r="A657" s="85"/>
      <c r="B657" s="85"/>
      <c r="C657" s="85"/>
      <c r="D657" s="85"/>
      <c r="E657" s="85"/>
      <c r="F657" s="85"/>
    </row>
    <row r="658">
      <c r="A658" s="85"/>
      <c r="B658" s="85"/>
      <c r="C658" s="85"/>
      <c r="D658" s="85"/>
      <c r="E658" s="85"/>
      <c r="F658" s="85"/>
    </row>
    <row r="659">
      <c r="A659" s="85"/>
      <c r="B659" s="85"/>
      <c r="C659" s="85"/>
      <c r="D659" s="85"/>
      <c r="E659" s="85"/>
      <c r="F659" s="85"/>
    </row>
    <row r="660">
      <c r="A660" s="85"/>
      <c r="B660" s="85"/>
      <c r="C660" s="85"/>
      <c r="D660" s="85"/>
      <c r="E660" s="85"/>
      <c r="F660" s="85"/>
    </row>
    <row r="661">
      <c r="A661" s="85"/>
      <c r="B661" s="85"/>
      <c r="C661" s="85"/>
      <c r="D661" s="85"/>
      <c r="E661" s="85"/>
      <c r="F661" s="85"/>
    </row>
    <row r="662">
      <c r="A662" s="85"/>
      <c r="B662" s="85"/>
      <c r="C662" s="85"/>
      <c r="D662" s="85"/>
      <c r="E662" s="85"/>
      <c r="F662" s="85"/>
    </row>
    <row r="663">
      <c r="A663" s="85"/>
      <c r="B663" s="85"/>
      <c r="C663" s="85"/>
      <c r="D663" s="85"/>
      <c r="E663" s="85"/>
      <c r="F663" s="85"/>
    </row>
    <row r="664">
      <c r="A664" s="85"/>
      <c r="B664" s="85"/>
      <c r="C664" s="85"/>
      <c r="D664" s="85"/>
      <c r="E664" s="85"/>
      <c r="F664" s="85"/>
    </row>
    <row r="665">
      <c r="A665" s="85"/>
      <c r="B665" s="85"/>
      <c r="C665" s="85"/>
      <c r="D665" s="85"/>
      <c r="E665" s="85"/>
      <c r="F665" s="85"/>
    </row>
    <row r="666">
      <c r="A666" s="85"/>
      <c r="B666" s="85"/>
      <c r="C666" s="85"/>
      <c r="D666" s="85"/>
      <c r="E666" s="85"/>
      <c r="F666" s="85"/>
    </row>
    <row r="667">
      <c r="A667" s="85"/>
      <c r="B667" s="85"/>
      <c r="C667" s="85"/>
      <c r="D667" s="85"/>
      <c r="E667" s="85"/>
      <c r="F667" s="85"/>
    </row>
    <row r="668">
      <c r="A668" s="85"/>
      <c r="B668" s="85"/>
      <c r="C668" s="85"/>
      <c r="D668" s="85"/>
      <c r="E668" s="85"/>
      <c r="F668" s="85"/>
    </row>
    <row r="669">
      <c r="A669" s="85"/>
      <c r="B669" s="85"/>
      <c r="C669" s="85"/>
      <c r="D669" s="85"/>
      <c r="E669" s="85"/>
      <c r="F669" s="85"/>
    </row>
    <row r="670">
      <c r="A670" s="85"/>
      <c r="B670" s="85"/>
      <c r="C670" s="85"/>
      <c r="D670" s="85"/>
      <c r="E670" s="85"/>
      <c r="F670" s="85"/>
    </row>
    <row r="671">
      <c r="A671" s="85"/>
      <c r="B671" s="85"/>
      <c r="C671" s="85"/>
      <c r="D671" s="85"/>
      <c r="E671" s="85"/>
      <c r="F671" s="85"/>
    </row>
    <row r="672">
      <c r="A672" s="85"/>
      <c r="B672" s="85"/>
      <c r="C672" s="85"/>
      <c r="D672" s="85"/>
      <c r="E672" s="85"/>
      <c r="F672" s="85"/>
    </row>
    <row r="673">
      <c r="A673" s="85"/>
      <c r="B673" s="85"/>
      <c r="C673" s="85"/>
      <c r="D673" s="85"/>
      <c r="E673" s="85"/>
      <c r="F673" s="85"/>
    </row>
    <row r="674">
      <c r="A674" s="85"/>
      <c r="B674" s="85"/>
      <c r="C674" s="85"/>
      <c r="D674" s="85"/>
      <c r="E674" s="85"/>
      <c r="F674" s="85"/>
    </row>
    <row r="675">
      <c r="A675" s="85"/>
      <c r="B675" s="85"/>
      <c r="C675" s="85"/>
      <c r="D675" s="85"/>
      <c r="E675" s="85"/>
      <c r="F675" s="85"/>
    </row>
    <row r="676">
      <c r="A676" s="85"/>
      <c r="B676" s="85"/>
      <c r="C676" s="85"/>
      <c r="D676" s="85"/>
      <c r="E676" s="85"/>
      <c r="F676" s="85"/>
    </row>
    <row r="677">
      <c r="A677" s="85"/>
      <c r="B677" s="85"/>
      <c r="C677" s="85"/>
      <c r="D677" s="85"/>
      <c r="E677" s="85"/>
      <c r="F677" s="85"/>
    </row>
    <row r="678">
      <c r="A678" s="85"/>
      <c r="B678" s="85"/>
      <c r="C678" s="85"/>
      <c r="D678" s="85"/>
      <c r="E678" s="85"/>
      <c r="F678" s="85"/>
    </row>
    <row r="679">
      <c r="A679" s="85"/>
      <c r="B679" s="85"/>
      <c r="C679" s="85"/>
      <c r="D679" s="85"/>
      <c r="E679" s="85"/>
      <c r="F679" s="85"/>
    </row>
    <row r="680">
      <c r="A680" s="85"/>
      <c r="B680" s="85"/>
      <c r="C680" s="85"/>
      <c r="D680" s="85"/>
      <c r="E680" s="85"/>
      <c r="F680" s="85"/>
    </row>
    <row r="681">
      <c r="A681" s="85"/>
      <c r="B681" s="85"/>
      <c r="C681" s="85"/>
      <c r="D681" s="85"/>
      <c r="E681" s="85"/>
      <c r="F681" s="85"/>
    </row>
    <row r="682">
      <c r="A682" s="85"/>
      <c r="B682" s="85"/>
      <c r="C682" s="85"/>
      <c r="D682" s="85"/>
      <c r="E682" s="85"/>
      <c r="F682" s="85"/>
    </row>
    <row r="683">
      <c r="A683" s="85"/>
      <c r="B683" s="85"/>
      <c r="C683" s="85"/>
      <c r="D683" s="85"/>
      <c r="E683" s="85"/>
      <c r="F683" s="85"/>
    </row>
    <row r="684">
      <c r="A684" s="85"/>
      <c r="B684" s="85"/>
      <c r="C684" s="85"/>
      <c r="D684" s="85"/>
      <c r="E684" s="85"/>
      <c r="F684" s="85"/>
    </row>
    <row r="685">
      <c r="A685" s="85"/>
      <c r="B685" s="85"/>
      <c r="C685" s="85"/>
      <c r="D685" s="85"/>
      <c r="E685" s="85"/>
      <c r="F685" s="85"/>
    </row>
    <row r="686">
      <c r="A686" s="85"/>
      <c r="B686" s="85"/>
      <c r="C686" s="85"/>
      <c r="D686" s="85"/>
      <c r="E686" s="85"/>
      <c r="F686" s="85"/>
    </row>
    <row r="687">
      <c r="A687" s="85"/>
      <c r="B687" s="85"/>
      <c r="C687" s="85"/>
      <c r="D687" s="85"/>
      <c r="E687" s="85"/>
      <c r="F687" s="85"/>
    </row>
    <row r="688">
      <c r="A688" s="85"/>
      <c r="B688" s="85"/>
      <c r="C688" s="85"/>
      <c r="D688" s="85"/>
      <c r="E688" s="85"/>
      <c r="F688" s="85"/>
    </row>
    <row r="689">
      <c r="A689" s="85"/>
      <c r="B689" s="85"/>
      <c r="C689" s="85"/>
      <c r="D689" s="85"/>
      <c r="E689" s="85"/>
      <c r="F689" s="85"/>
    </row>
    <row r="690">
      <c r="A690" s="85"/>
      <c r="B690" s="85"/>
      <c r="C690" s="85"/>
      <c r="D690" s="85"/>
      <c r="E690" s="85"/>
      <c r="F690" s="85"/>
    </row>
    <row r="691">
      <c r="A691" s="85"/>
      <c r="B691" s="85"/>
      <c r="C691" s="85"/>
      <c r="D691" s="85"/>
      <c r="E691" s="85"/>
      <c r="F691" s="85"/>
    </row>
    <row r="692">
      <c r="A692" s="85"/>
      <c r="B692" s="85"/>
      <c r="C692" s="85"/>
      <c r="D692" s="85"/>
      <c r="E692" s="85"/>
      <c r="F692" s="85"/>
    </row>
    <row r="693">
      <c r="A693" s="85"/>
      <c r="B693" s="85"/>
      <c r="C693" s="85"/>
      <c r="D693" s="85"/>
      <c r="E693" s="85"/>
      <c r="F693" s="85"/>
    </row>
    <row r="694">
      <c r="A694" s="85"/>
      <c r="B694" s="85"/>
      <c r="C694" s="85"/>
      <c r="D694" s="85"/>
      <c r="E694" s="85"/>
      <c r="F694" s="85"/>
    </row>
    <row r="695">
      <c r="A695" s="85"/>
      <c r="B695" s="85"/>
      <c r="C695" s="85"/>
      <c r="D695" s="85"/>
      <c r="E695" s="85"/>
      <c r="F695" s="85"/>
    </row>
    <row r="696">
      <c r="A696" s="85"/>
      <c r="B696" s="85"/>
      <c r="C696" s="85"/>
      <c r="D696" s="85"/>
      <c r="E696" s="85"/>
      <c r="F696" s="85"/>
    </row>
    <row r="697">
      <c r="A697" s="85"/>
      <c r="B697" s="85"/>
      <c r="C697" s="85"/>
      <c r="D697" s="85"/>
      <c r="E697" s="85"/>
      <c r="F697" s="85"/>
    </row>
    <row r="698">
      <c r="A698" s="85"/>
      <c r="B698" s="85"/>
      <c r="C698" s="85"/>
      <c r="D698" s="85"/>
      <c r="E698" s="85"/>
      <c r="F698" s="85"/>
    </row>
    <row r="699">
      <c r="A699" s="85"/>
      <c r="B699" s="85"/>
      <c r="C699" s="85"/>
      <c r="D699" s="85"/>
      <c r="E699" s="85"/>
      <c r="F699" s="85"/>
    </row>
    <row r="700">
      <c r="A700" s="85"/>
      <c r="B700" s="85"/>
      <c r="C700" s="85"/>
      <c r="D700" s="85"/>
      <c r="E700" s="85"/>
      <c r="F700" s="85"/>
    </row>
    <row r="701">
      <c r="A701" s="85"/>
      <c r="B701" s="85"/>
      <c r="C701" s="85"/>
      <c r="D701" s="85"/>
      <c r="E701" s="85"/>
      <c r="F701" s="85"/>
    </row>
    <row r="702">
      <c r="A702" s="85"/>
      <c r="B702" s="85"/>
      <c r="C702" s="85"/>
      <c r="D702" s="85"/>
      <c r="E702" s="85"/>
      <c r="F702" s="85"/>
    </row>
    <row r="703">
      <c r="A703" s="85"/>
      <c r="B703" s="85"/>
      <c r="C703" s="85"/>
      <c r="D703" s="85"/>
      <c r="E703" s="85"/>
      <c r="F703" s="85"/>
    </row>
    <row r="704">
      <c r="A704" s="85"/>
      <c r="B704" s="85"/>
      <c r="C704" s="85"/>
      <c r="D704" s="85"/>
      <c r="E704" s="85"/>
      <c r="F704" s="85"/>
    </row>
    <row r="705">
      <c r="A705" s="85"/>
      <c r="B705" s="85"/>
      <c r="C705" s="85"/>
      <c r="D705" s="85"/>
      <c r="E705" s="85"/>
      <c r="F705" s="85"/>
    </row>
    <row r="706">
      <c r="A706" s="85"/>
      <c r="B706" s="85"/>
      <c r="C706" s="85"/>
      <c r="D706" s="85"/>
      <c r="E706" s="85"/>
      <c r="F706" s="85"/>
    </row>
    <row r="707">
      <c r="A707" s="85"/>
      <c r="B707" s="85"/>
      <c r="C707" s="85"/>
      <c r="D707" s="85"/>
      <c r="E707" s="85"/>
      <c r="F707" s="85"/>
    </row>
    <row r="708">
      <c r="A708" s="85"/>
      <c r="B708" s="85"/>
      <c r="C708" s="85"/>
      <c r="D708" s="85"/>
      <c r="E708" s="85"/>
      <c r="F708" s="85"/>
    </row>
    <row r="709">
      <c r="A709" s="85"/>
      <c r="B709" s="85"/>
      <c r="C709" s="85"/>
      <c r="D709" s="85"/>
      <c r="E709" s="85"/>
      <c r="F709" s="85"/>
    </row>
    <row r="710">
      <c r="A710" s="85"/>
      <c r="B710" s="85"/>
      <c r="C710" s="85"/>
      <c r="D710" s="85"/>
      <c r="E710" s="85"/>
      <c r="F710" s="85"/>
    </row>
    <row r="711">
      <c r="A711" s="85"/>
      <c r="B711" s="85"/>
      <c r="C711" s="85"/>
      <c r="D711" s="85"/>
      <c r="E711" s="85"/>
      <c r="F711" s="85"/>
    </row>
    <row r="712">
      <c r="A712" s="85"/>
      <c r="B712" s="85"/>
      <c r="C712" s="85"/>
      <c r="D712" s="85"/>
      <c r="E712" s="85"/>
      <c r="F712" s="85"/>
    </row>
    <row r="713">
      <c r="A713" s="85"/>
      <c r="B713" s="85"/>
      <c r="C713" s="85"/>
      <c r="D713" s="85"/>
      <c r="E713" s="85"/>
      <c r="F713" s="85"/>
    </row>
    <row r="714">
      <c r="A714" s="85"/>
      <c r="B714" s="85"/>
      <c r="C714" s="85"/>
      <c r="D714" s="85"/>
      <c r="E714" s="85"/>
      <c r="F714" s="85"/>
    </row>
    <row r="715">
      <c r="A715" s="85"/>
      <c r="B715" s="85"/>
      <c r="C715" s="85"/>
      <c r="D715" s="85"/>
      <c r="E715" s="85"/>
      <c r="F715" s="85"/>
    </row>
    <row r="716">
      <c r="A716" s="85"/>
      <c r="B716" s="85"/>
      <c r="C716" s="85"/>
      <c r="D716" s="85"/>
      <c r="E716" s="85"/>
      <c r="F716" s="85"/>
    </row>
    <row r="717">
      <c r="A717" s="85"/>
      <c r="B717" s="85"/>
      <c r="C717" s="85"/>
      <c r="D717" s="85"/>
      <c r="E717" s="85"/>
      <c r="F717" s="85"/>
    </row>
    <row r="718">
      <c r="A718" s="85"/>
      <c r="B718" s="85"/>
      <c r="C718" s="85"/>
      <c r="D718" s="85"/>
      <c r="E718" s="85"/>
      <c r="F718" s="85"/>
    </row>
    <row r="719">
      <c r="A719" s="85"/>
      <c r="B719" s="85"/>
      <c r="C719" s="85"/>
      <c r="D719" s="85"/>
      <c r="E719" s="85"/>
      <c r="F719" s="85"/>
    </row>
    <row r="720">
      <c r="A720" s="85"/>
      <c r="B720" s="85"/>
      <c r="C720" s="85"/>
      <c r="D720" s="85"/>
      <c r="E720" s="85"/>
      <c r="F720" s="85"/>
    </row>
    <row r="721">
      <c r="A721" s="85"/>
      <c r="B721" s="85"/>
      <c r="C721" s="85"/>
      <c r="D721" s="85"/>
      <c r="E721" s="85"/>
      <c r="F721" s="85"/>
    </row>
    <row r="722">
      <c r="A722" s="85"/>
      <c r="B722" s="85"/>
      <c r="C722" s="85"/>
      <c r="D722" s="85"/>
      <c r="E722" s="85"/>
      <c r="F722" s="85"/>
    </row>
    <row r="723">
      <c r="A723" s="85"/>
      <c r="B723" s="85"/>
      <c r="C723" s="85"/>
      <c r="D723" s="85"/>
      <c r="E723" s="85"/>
      <c r="F723" s="85"/>
    </row>
    <row r="724">
      <c r="A724" s="85"/>
      <c r="B724" s="85"/>
      <c r="C724" s="85"/>
      <c r="D724" s="85"/>
      <c r="E724" s="85"/>
      <c r="F724" s="85"/>
    </row>
    <row r="725">
      <c r="A725" s="85"/>
      <c r="B725" s="85"/>
      <c r="C725" s="85"/>
      <c r="D725" s="85"/>
      <c r="E725" s="85"/>
      <c r="F725" s="85"/>
    </row>
    <row r="726">
      <c r="A726" s="85"/>
      <c r="B726" s="85"/>
      <c r="C726" s="85"/>
      <c r="D726" s="85"/>
      <c r="E726" s="85"/>
      <c r="F726" s="85"/>
    </row>
    <row r="727">
      <c r="A727" s="85"/>
      <c r="B727" s="85"/>
      <c r="C727" s="85"/>
      <c r="D727" s="85"/>
      <c r="E727" s="85"/>
      <c r="F727" s="85"/>
    </row>
    <row r="728">
      <c r="A728" s="85"/>
      <c r="B728" s="85"/>
      <c r="C728" s="85"/>
      <c r="D728" s="85"/>
      <c r="E728" s="85"/>
      <c r="F728" s="85"/>
    </row>
    <row r="729">
      <c r="A729" s="85"/>
      <c r="B729" s="85"/>
      <c r="C729" s="85"/>
      <c r="D729" s="85"/>
      <c r="E729" s="85"/>
      <c r="F729" s="85"/>
    </row>
    <row r="730">
      <c r="A730" s="85"/>
      <c r="B730" s="85"/>
      <c r="C730" s="85"/>
      <c r="D730" s="85"/>
      <c r="E730" s="85"/>
      <c r="F730" s="85"/>
    </row>
    <row r="731">
      <c r="A731" s="85"/>
      <c r="B731" s="85"/>
      <c r="C731" s="85"/>
      <c r="D731" s="85"/>
      <c r="E731" s="85"/>
      <c r="F731" s="85"/>
    </row>
    <row r="732">
      <c r="A732" s="85"/>
      <c r="B732" s="85"/>
      <c r="C732" s="85"/>
      <c r="D732" s="85"/>
      <c r="E732" s="85"/>
      <c r="F732" s="85"/>
    </row>
    <row r="733">
      <c r="A733" s="85"/>
      <c r="B733" s="85"/>
      <c r="C733" s="85"/>
      <c r="D733" s="85"/>
      <c r="E733" s="85"/>
      <c r="F733" s="85"/>
    </row>
    <row r="734">
      <c r="A734" s="85"/>
      <c r="B734" s="85"/>
      <c r="C734" s="85"/>
      <c r="D734" s="85"/>
      <c r="E734" s="85"/>
      <c r="F734" s="85"/>
    </row>
    <row r="735">
      <c r="A735" s="85"/>
      <c r="B735" s="85"/>
      <c r="C735" s="85"/>
      <c r="D735" s="85"/>
      <c r="E735" s="85"/>
      <c r="F735" s="85"/>
    </row>
    <row r="736">
      <c r="A736" s="85"/>
      <c r="B736" s="85"/>
      <c r="C736" s="85"/>
      <c r="D736" s="85"/>
      <c r="E736" s="85"/>
      <c r="F736" s="85"/>
    </row>
    <row r="737">
      <c r="A737" s="85"/>
      <c r="B737" s="85"/>
      <c r="C737" s="85"/>
      <c r="D737" s="85"/>
      <c r="E737" s="85"/>
      <c r="F737" s="85"/>
    </row>
    <row r="738">
      <c r="A738" s="85"/>
      <c r="B738" s="85"/>
      <c r="C738" s="85"/>
      <c r="D738" s="85"/>
      <c r="E738" s="85"/>
      <c r="F738" s="85"/>
    </row>
    <row r="739">
      <c r="A739" s="85"/>
      <c r="B739" s="85"/>
      <c r="C739" s="85"/>
      <c r="D739" s="85"/>
      <c r="E739" s="85"/>
      <c r="F739" s="85"/>
    </row>
    <row r="740">
      <c r="A740" s="85"/>
      <c r="B740" s="85"/>
      <c r="C740" s="85"/>
      <c r="D740" s="85"/>
      <c r="E740" s="85"/>
      <c r="F740" s="85"/>
    </row>
    <row r="741">
      <c r="A741" s="85"/>
      <c r="B741" s="85"/>
      <c r="C741" s="85"/>
      <c r="D741" s="85"/>
      <c r="E741" s="85"/>
      <c r="F741" s="85"/>
    </row>
    <row r="742">
      <c r="A742" s="85"/>
      <c r="B742" s="85"/>
      <c r="C742" s="85"/>
      <c r="D742" s="85"/>
      <c r="E742" s="85"/>
      <c r="F742" s="85"/>
    </row>
    <row r="743">
      <c r="A743" s="85"/>
      <c r="B743" s="85"/>
      <c r="C743" s="85"/>
      <c r="D743" s="85"/>
      <c r="E743" s="85"/>
      <c r="F743" s="85"/>
    </row>
    <row r="744">
      <c r="A744" s="85"/>
      <c r="B744" s="85"/>
      <c r="C744" s="85"/>
      <c r="D744" s="85"/>
      <c r="E744" s="85"/>
      <c r="F744" s="85"/>
    </row>
    <row r="745">
      <c r="A745" s="85"/>
      <c r="B745" s="85"/>
      <c r="C745" s="85"/>
      <c r="D745" s="85"/>
      <c r="E745" s="85"/>
      <c r="F745" s="85"/>
    </row>
    <row r="746">
      <c r="A746" s="85"/>
      <c r="B746" s="85"/>
      <c r="C746" s="85"/>
      <c r="D746" s="85"/>
      <c r="E746" s="85"/>
      <c r="F746" s="85"/>
    </row>
    <row r="747">
      <c r="A747" s="85"/>
      <c r="B747" s="85"/>
      <c r="C747" s="85"/>
      <c r="D747" s="85"/>
      <c r="E747" s="85"/>
      <c r="F747" s="85"/>
    </row>
    <row r="748">
      <c r="A748" s="85"/>
      <c r="B748" s="85"/>
      <c r="C748" s="85"/>
      <c r="D748" s="85"/>
      <c r="E748" s="85"/>
      <c r="F748" s="85"/>
    </row>
    <row r="749">
      <c r="A749" s="85"/>
      <c r="B749" s="85"/>
      <c r="C749" s="85"/>
      <c r="D749" s="85"/>
      <c r="E749" s="85"/>
      <c r="F749" s="85"/>
    </row>
    <row r="750">
      <c r="A750" s="85"/>
      <c r="B750" s="85"/>
      <c r="C750" s="85"/>
      <c r="D750" s="85"/>
      <c r="E750" s="85"/>
      <c r="F750" s="85"/>
    </row>
    <row r="751">
      <c r="A751" s="85"/>
      <c r="B751" s="85"/>
      <c r="C751" s="85"/>
      <c r="D751" s="85"/>
      <c r="E751" s="85"/>
      <c r="F751" s="85"/>
    </row>
    <row r="752">
      <c r="A752" s="85"/>
      <c r="B752" s="85"/>
      <c r="C752" s="85"/>
      <c r="D752" s="85"/>
      <c r="E752" s="85"/>
      <c r="F752" s="85"/>
    </row>
    <row r="753">
      <c r="A753" s="85"/>
      <c r="B753" s="85"/>
      <c r="C753" s="85"/>
      <c r="D753" s="85"/>
      <c r="E753" s="85"/>
      <c r="F753" s="85"/>
    </row>
    <row r="754">
      <c r="A754" s="85"/>
      <c r="B754" s="85"/>
      <c r="C754" s="85"/>
      <c r="D754" s="85"/>
      <c r="E754" s="85"/>
      <c r="F754" s="85"/>
    </row>
    <row r="755">
      <c r="A755" s="85"/>
      <c r="B755" s="85"/>
      <c r="C755" s="85"/>
      <c r="D755" s="85"/>
      <c r="E755" s="85"/>
      <c r="F755" s="85"/>
    </row>
    <row r="756">
      <c r="A756" s="85"/>
      <c r="B756" s="85"/>
      <c r="C756" s="85"/>
      <c r="D756" s="85"/>
      <c r="E756" s="85"/>
      <c r="F756" s="85"/>
    </row>
    <row r="757">
      <c r="A757" s="85"/>
      <c r="B757" s="85"/>
      <c r="C757" s="85"/>
      <c r="D757" s="85"/>
      <c r="E757" s="85"/>
      <c r="F757" s="85"/>
    </row>
    <row r="758">
      <c r="A758" s="85"/>
      <c r="B758" s="85"/>
      <c r="C758" s="85"/>
      <c r="D758" s="85"/>
      <c r="E758" s="85"/>
      <c r="F758" s="85"/>
    </row>
    <row r="759">
      <c r="A759" s="85"/>
      <c r="B759" s="85"/>
      <c r="C759" s="85"/>
      <c r="D759" s="85"/>
      <c r="E759" s="85"/>
      <c r="F759" s="85"/>
    </row>
    <row r="760">
      <c r="A760" s="85"/>
      <c r="B760" s="85"/>
      <c r="C760" s="85"/>
      <c r="D760" s="85"/>
      <c r="E760" s="85"/>
      <c r="F760" s="85"/>
    </row>
    <row r="761">
      <c r="A761" s="85"/>
      <c r="B761" s="85"/>
      <c r="C761" s="85"/>
      <c r="D761" s="85"/>
      <c r="E761" s="85"/>
      <c r="F761" s="85"/>
    </row>
    <row r="762">
      <c r="A762" s="85"/>
      <c r="B762" s="85"/>
      <c r="C762" s="85"/>
      <c r="D762" s="85"/>
      <c r="E762" s="85"/>
      <c r="F762" s="85"/>
    </row>
    <row r="763">
      <c r="A763" s="85"/>
      <c r="B763" s="85"/>
      <c r="C763" s="85"/>
      <c r="D763" s="85"/>
      <c r="E763" s="85"/>
      <c r="F763" s="85"/>
    </row>
    <row r="764">
      <c r="A764" s="85"/>
      <c r="B764" s="85"/>
      <c r="C764" s="85"/>
      <c r="D764" s="85"/>
      <c r="E764" s="85"/>
      <c r="F764" s="85"/>
    </row>
    <row r="765">
      <c r="A765" s="85"/>
      <c r="B765" s="85"/>
      <c r="C765" s="85"/>
      <c r="D765" s="85"/>
      <c r="E765" s="85"/>
      <c r="F765" s="85"/>
    </row>
    <row r="766">
      <c r="A766" s="85"/>
      <c r="B766" s="85"/>
      <c r="C766" s="85"/>
      <c r="D766" s="85"/>
      <c r="E766" s="85"/>
      <c r="F766" s="85"/>
    </row>
    <row r="767">
      <c r="A767" s="85"/>
      <c r="B767" s="85"/>
      <c r="C767" s="85"/>
      <c r="D767" s="85"/>
      <c r="E767" s="85"/>
      <c r="F767" s="85"/>
    </row>
    <row r="768">
      <c r="A768" s="85"/>
      <c r="B768" s="85"/>
      <c r="C768" s="85"/>
      <c r="D768" s="85"/>
      <c r="E768" s="85"/>
      <c r="F768" s="85"/>
    </row>
    <row r="769">
      <c r="A769" s="85"/>
      <c r="B769" s="85"/>
      <c r="C769" s="85"/>
      <c r="D769" s="85"/>
      <c r="E769" s="85"/>
      <c r="F769" s="85"/>
    </row>
    <row r="770">
      <c r="A770" s="85"/>
      <c r="B770" s="85"/>
      <c r="C770" s="85"/>
      <c r="D770" s="85"/>
      <c r="E770" s="85"/>
      <c r="F770" s="85"/>
    </row>
    <row r="771">
      <c r="A771" s="85"/>
      <c r="B771" s="85"/>
      <c r="C771" s="85"/>
      <c r="D771" s="85"/>
      <c r="E771" s="85"/>
      <c r="F771" s="85"/>
    </row>
    <row r="772">
      <c r="A772" s="85"/>
      <c r="B772" s="85"/>
      <c r="C772" s="85"/>
      <c r="D772" s="85"/>
      <c r="E772" s="85"/>
      <c r="F772" s="85"/>
    </row>
    <row r="773">
      <c r="A773" s="85"/>
      <c r="B773" s="85"/>
      <c r="C773" s="85"/>
      <c r="D773" s="85"/>
      <c r="E773" s="85"/>
      <c r="F773" s="85"/>
    </row>
    <row r="774">
      <c r="A774" s="85"/>
      <c r="B774" s="85"/>
      <c r="C774" s="85"/>
      <c r="D774" s="85"/>
      <c r="E774" s="85"/>
      <c r="F774" s="85"/>
    </row>
    <row r="775">
      <c r="A775" s="85"/>
      <c r="B775" s="85"/>
      <c r="C775" s="85"/>
      <c r="D775" s="85"/>
      <c r="E775" s="85"/>
      <c r="F775" s="85"/>
    </row>
    <row r="776">
      <c r="A776" s="85"/>
      <c r="B776" s="85"/>
      <c r="C776" s="85"/>
      <c r="D776" s="85"/>
      <c r="E776" s="85"/>
      <c r="F776" s="85"/>
    </row>
    <row r="777">
      <c r="A777" s="85"/>
      <c r="B777" s="85"/>
      <c r="C777" s="85"/>
      <c r="D777" s="85"/>
      <c r="E777" s="85"/>
      <c r="F777" s="85"/>
    </row>
    <row r="778">
      <c r="A778" s="85"/>
      <c r="B778" s="85"/>
      <c r="C778" s="85"/>
      <c r="D778" s="85"/>
      <c r="E778" s="85"/>
      <c r="F778" s="85"/>
    </row>
    <row r="779">
      <c r="A779" s="85"/>
      <c r="B779" s="85"/>
      <c r="C779" s="85"/>
      <c r="D779" s="85"/>
      <c r="E779" s="85"/>
      <c r="F779" s="85"/>
    </row>
    <row r="780">
      <c r="A780" s="85"/>
      <c r="B780" s="85"/>
      <c r="C780" s="85"/>
      <c r="D780" s="85"/>
      <c r="E780" s="85"/>
      <c r="F780" s="85"/>
    </row>
    <row r="781">
      <c r="A781" s="85"/>
      <c r="B781" s="85"/>
      <c r="C781" s="85"/>
      <c r="D781" s="85"/>
      <c r="E781" s="85"/>
      <c r="F781" s="85"/>
    </row>
    <row r="782">
      <c r="A782" s="85"/>
      <c r="B782" s="85"/>
      <c r="C782" s="85"/>
      <c r="D782" s="85"/>
      <c r="E782" s="85"/>
      <c r="F782" s="85"/>
    </row>
    <row r="783">
      <c r="A783" s="85"/>
      <c r="B783" s="85"/>
      <c r="C783" s="85"/>
      <c r="D783" s="85"/>
      <c r="E783" s="85"/>
      <c r="F783" s="85"/>
    </row>
    <row r="784">
      <c r="A784" s="85"/>
      <c r="B784" s="85"/>
      <c r="C784" s="85"/>
      <c r="D784" s="85"/>
      <c r="E784" s="85"/>
      <c r="F784" s="85"/>
    </row>
    <row r="785">
      <c r="A785" s="85"/>
      <c r="B785" s="85"/>
      <c r="C785" s="85"/>
      <c r="D785" s="85"/>
      <c r="E785" s="85"/>
      <c r="F785" s="85"/>
    </row>
    <row r="786">
      <c r="A786" s="85"/>
      <c r="B786" s="85"/>
      <c r="C786" s="85"/>
      <c r="D786" s="85"/>
      <c r="E786" s="85"/>
      <c r="F786" s="85"/>
    </row>
    <row r="787">
      <c r="A787" s="85"/>
      <c r="B787" s="85"/>
      <c r="C787" s="85"/>
      <c r="D787" s="85"/>
      <c r="E787" s="85"/>
      <c r="F787" s="85"/>
    </row>
    <row r="788">
      <c r="A788" s="85"/>
      <c r="B788" s="85"/>
      <c r="C788" s="85"/>
      <c r="D788" s="85"/>
      <c r="E788" s="85"/>
      <c r="F788" s="85"/>
    </row>
    <row r="789">
      <c r="A789" s="85"/>
      <c r="B789" s="85"/>
      <c r="C789" s="85"/>
      <c r="D789" s="85"/>
      <c r="E789" s="85"/>
      <c r="F789" s="85"/>
    </row>
    <row r="790">
      <c r="A790" s="85"/>
      <c r="B790" s="85"/>
      <c r="C790" s="85"/>
      <c r="D790" s="85"/>
      <c r="E790" s="85"/>
      <c r="F790" s="85"/>
    </row>
    <row r="791">
      <c r="A791" s="85"/>
      <c r="B791" s="85"/>
      <c r="C791" s="85"/>
      <c r="D791" s="85"/>
      <c r="E791" s="85"/>
      <c r="F791" s="85"/>
    </row>
    <row r="792">
      <c r="A792" s="85"/>
      <c r="B792" s="85"/>
      <c r="C792" s="85"/>
      <c r="D792" s="85"/>
      <c r="E792" s="85"/>
      <c r="F792" s="85"/>
    </row>
    <row r="793">
      <c r="A793" s="85"/>
      <c r="B793" s="85"/>
      <c r="C793" s="85"/>
      <c r="D793" s="85"/>
      <c r="E793" s="85"/>
      <c r="F793" s="85"/>
    </row>
    <row r="794">
      <c r="A794" s="85"/>
      <c r="B794" s="85"/>
      <c r="C794" s="85"/>
      <c r="D794" s="85"/>
      <c r="E794" s="85"/>
      <c r="F794" s="85"/>
    </row>
    <row r="795">
      <c r="A795" s="85"/>
      <c r="B795" s="85"/>
      <c r="C795" s="85"/>
      <c r="D795" s="85"/>
      <c r="E795" s="85"/>
      <c r="F795" s="85"/>
    </row>
    <row r="796">
      <c r="A796" s="85"/>
      <c r="B796" s="85"/>
      <c r="C796" s="85"/>
      <c r="D796" s="85"/>
      <c r="E796" s="85"/>
      <c r="F796" s="85"/>
    </row>
    <row r="797">
      <c r="A797" s="85"/>
      <c r="B797" s="85"/>
      <c r="C797" s="85"/>
      <c r="D797" s="85"/>
      <c r="E797" s="85"/>
      <c r="F797" s="85"/>
    </row>
    <row r="798">
      <c r="A798" s="85"/>
      <c r="B798" s="85"/>
      <c r="C798" s="85"/>
      <c r="D798" s="85"/>
      <c r="E798" s="85"/>
      <c r="F798" s="85"/>
    </row>
    <row r="799">
      <c r="A799" s="85"/>
      <c r="B799" s="85"/>
      <c r="C799" s="85"/>
      <c r="D799" s="85"/>
      <c r="E799" s="85"/>
      <c r="F799" s="85"/>
    </row>
    <row r="800">
      <c r="A800" s="85"/>
      <c r="B800" s="85"/>
      <c r="C800" s="85"/>
      <c r="D800" s="85"/>
      <c r="E800" s="85"/>
      <c r="F800" s="85"/>
    </row>
    <row r="801">
      <c r="A801" s="85"/>
      <c r="B801" s="85"/>
      <c r="C801" s="85"/>
      <c r="D801" s="85"/>
      <c r="E801" s="85"/>
      <c r="F801" s="85"/>
    </row>
    <row r="802">
      <c r="A802" s="85"/>
      <c r="B802" s="85"/>
      <c r="C802" s="85"/>
      <c r="D802" s="85"/>
      <c r="E802" s="85"/>
      <c r="F802" s="85"/>
    </row>
    <row r="803">
      <c r="A803" s="85"/>
      <c r="B803" s="85"/>
      <c r="C803" s="85"/>
      <c r="D803" s="85"/>
      <c r="E803" s="85"/>
      <c r="F803" s="85"/>
    </row>
    <row r="804">
      <c r="A804" s="85"/>
      <c r="B804" s="85"/>
      <c r="C804" s="85"/>
      <c r="D804" s="85"/>
      <c r="E804" s="85"/>
      <c r="F804" s="85"/>
    </row>
    <row r="805">
      <c r="A805" s="85"/>
      <c r="B805" s="85"/>
      <c r="C805" s="85"/>
      <c r="D805" s="85"/>
      <c r="E805" s="85"/>
      <c r="F805" s="85"/>
    </row>
    <row r="806">
      <c r="A806" s="85"/>
      <c r="B806" s="85"/>
      <c r="C806" s="85"/>
      <c r="D806" s="85"/>
      <c r="E806" s="85"/>
      <c r="F806" s="85"/>
    </row>
    <row r="807">
      <c r="A807" s="85"/>
      <c r="B807" s="85"/>
      <c r="C807" s="85"/>
      <c r="D807" s="85"/>
      <c r="E807" s="85"/>
      <c r="F807" s="85"/>
    </row>
    <row r="808">
      <c r="A808" s="85"/>
      <c r="B808" s="85"/>
      <c r="C808" s="85"/>
      <c r="D808" s="85"/>
      <c r="E808" s="85"/>
      <c r="F808" s="85"/>
    </row>
    <row r="809">
      <c r="A809" s="85"/>
      <c r="B809" s="85"/>
      <c r="C809" s="85"/>
      <c r="D809" s="85"/>
      <c r="E809" s="85"/>
      <c r="F809" s="85"/>
    </row>
    <row r="810">
      <c r="A810" s="85"/>
      <c r="B810" s="85"/>
      <c r="C810" s="85"/>
      <c r="D810" s="85"/>
      <c r="E810" s="85"/>
      <c r="F810" s="85"/>
    </row>
    <row r="811">
      <c r="A811" s="85"/>
      <c r="B811" s="85"/>
      <c r="C811" s="85"/>
      <c r="D811" s="85"/>
      <c r="E811" s="85"/>
      <c r="F811" s="85"/>
    </row>
    <row r="812">
      <c r="A812" s="85"/>
      <c r="B812" s="85"/>
      <c r="C812" s="85"/>
      <c r="D812" s="85"/>
      <c r="E812" s="85"/>
      <c r="F812" s="85"/>
    </row>
    <row r="813">
      <c r="A813" s="85"/>
      <c r="B813" s="85"/>
      <c r="C813" s="85"/>
      <c r="D813" s="85"/>
      <c r="E813" s="85"/>
      <c r="F813" s="85"/>
    </row>
    <row r="814">
      <c r="A814" s="85"/>
      <c r="B814" s="85"/>
      <c r="C814" s="85"/>
      <c r="D814" s="85"/>
      <c r="E814" s="85"/>
      <c r="F814" s="85"/>
    </row>
    <row r="815">
      <c r="A815" s="85"/>
      <c r="B815" s="85"/>
      <c r="C815" s="85"/>
      <c r="D815" s="85"/>
      <c r="E815" s="85"/>
      <c r="F815" s="85"/>
    </row>
    <row r="816">
      <c r="A816" s="85"/>
      <c r="B816" s="85"/>
      <c r="C816" s="85"/>
      <c r="D816" s="85"/>
      <c r="E816" s="85"/>
      <c r="F816" s="85"/>
    </row>
    <row r="817">
      <c r="A817" s="85"/>
      <c r="B817" s="85"/>
      <c r="C817" s="85"/>
      <c r="D817" s="85"/>
      <c r="E817" s="85"/>
      <c r="F817" s="85"/>
    </row>
    <row r="818">
      <c r="A818" s="85"/>
      <c r="B818" s="85"/>
      <c r="C818" s="85"/>
      <c r="D818" s="85"/>
      <c r="E818" s="85"/>
      <c r="F818" s="85"/>
    </row>
    <row r="819">
      <c r="A819" s="85"/>
      <c r="B819" s="85"/>
      <c r="C819" s="85"/>
      <c r="D819" s="85"/>
      <c r="E819" s="85"/>
      <c r="F819" s="85"/>
    </row>
    <row r="820">
      <c r="A820" s="85"/>
      <c r="B820" s="85"/>
      <c r="C820" s="85"/>
      <c r="D820" s="85"/>
      <c r="E820" s="85"/>
      <c r="F820" s="85"/>
    </row>
    <row r="821">
      <c r="A821" s="85"/>
      <c r="B821" s="85"/>
      <c r="C821" s="85"/>
      <c r="D821" s="85"/>
      <c r="E821" s="85"/>
      <c r="F821" s="85"/>
    </row>
    <row r="822">
      <c r="A822" s="85"/>
      <c r="B822" s="85"/>
      <c r="C822" s="85"/>
      <c r="D822" s="85"/>
      <c r="E822" s="85"/>
      <c r="F822" s="85"/>
    </row>
    <row r="823">
      <c r="A823" s="85"/>
      <c r="B823" s="85"/>
      <c r="C823" s="85"/>
      <c r="D823" s="85"/>
      <c r="E823" s="85"/>
      <c r="F823" s="85"/>
    </row>
    <row r="824">
      <c r="A824" s="85"/>
      <c r="B824" s="85"/>
      <c r="C824" s="85"/>
      <c r="D824" s="85"/>
      <c r="E824" s="85"/>
      <c r="F824" s="85"/>
    </row>
    <row r="825">
      <c r="A825" s="85"/>
      <c r="B825" s="85"/>
      <c r="C825" s="85"/>
      <c r="D825" s="85"/>
      <c r="E825" s="85"/>
      <c r="F825" s="85"/>
    </row>
    <row r="826">
      <c r="A826" s="85"/>
      <c r="B826" s="85"/>
      <c r="C826" s="85"/>
      <c r="D826" s="85"/>
      <c r="E826" s="85"/>
      <c r="F826" s="85"/>
    </row>
    <row r="827">
      <c r="A827" s="85"/>
      <c r="B827" s="85"/>
      <c r="C827" s="85"/>
      <c r="D827" s="85"/>
      <c r="E827" s="85"/>
      <c r="F827" s="85"/>
    </row>
    <row r="828">
      <c r="A828" s="85"/>
      <c r="B828" s="85"/>
      <c r="C828" s="85"/>
      <c r="D828" s="85"/>
      <c r="E828" s="85"/>
      <c r="F828" s="85"/>
    </row>
    <row r="829">
      <c r="A829" s="85"/>
      <c r="B829" s="85"/>
      <c r="C829" s="85"/>
      <c r="D829" s="85"/>
      <c r="E829" s="85"/>
      <c r="F829" s="85"/>
    </row>
    <row r="830">
      <c r="A830" s="85"/>
      <c r="B830" s="85"/>
      <c r="C830" s="85"/>
      <c r="D830" s="85"/>
      <c r="E830" s="85"/>
      <c r="F830" s="85"/>
    </row>
    <row r="831">
      <c r="A831" s="85"/>
      <c r="B831" s="85"/>
      <c r="C831" s="85"/>
      <c r="D831" s="85"/>
      <c r="E831" s="85"/>
      <c r="F831" s="85"/>
    </row>
    <row r="832">
      <c r="A832" s="85"/>
      <c r="B832" s="85"/>
      <c r="C832" s="85"/>
      <c r="D832" s="85"/>
      <c r="E832" s="85"/>
      <c r="F832" s="85"/>
    </row>
    <row r="833">
      <c r="A833" s="85"/>
      <c r="B833" s="85"/>
      <c r="C833" s="85"/>
      <c r="D833" s="85"/>
      <c r="E833" s="85"/>
      <c r="F833" s="85"/>
    </row>
    <row r="834">
      <c r="A834" s="85"/>
      <c r="B834" s="85"/>
      <c r="C834" s="85"/>
      <c r="D834" s="85"/>
      <c r="E834" s="85"/>
      <c r="F834" s="85"/>
    </row>
    <row r="835">
      <c r="A835" s="85"/>
      <c r="B835" s="85"/>
      <c r="C835" s="85"/>
      <c r="D835" s="85"/>
      <c r="E835" s="85"/>
      <c r="F835" s="85"/>
    </row>
    <row r="836">
      <c r="A836" s="85"/>
      <c r="B836" s="85"/>
      <c r="C836" s="85"/>
      <c r="D836" s="85"/>
      <c r="E836" s="85"/>
      <c r="F836" s="85"/>
    </row>
    <row r="837">
      <c r="A837" s="85"/>
      <c r="B837" s="85"/>
      <c r="C837" s="85"/>
      <c r="D837" s="85"/>
      <c r="E837" s="85"/>
      <c r="F837" s="85"/>
    </row>
    <row r="838">
      <c r="A838" s="85"/>
      <c r="B838" s="85"/>
      <c r="C838" s="85"/>
      <c r="D838" s="85"/>
      <c r="E838" s="85"/>
      <c r="F838" s="85"/>
    </row>
    <row r="839">
      <c r="A839" s="85"/>
      <c r="B839" s="85"/>
      <c r="C839" s="85"/>
      <c r="D839" s="85"/>
      <c r="E839" s="85"/>
      <c r="F839" s="85"/>
    </row>
    <row r="840">
      <c r="A840" s="85"/>
      <c r="B840" s="85"/>
      <c r="C840" s="85"/>
      <c r="D840" s="85"/>
      <c r="E840" s="85"/>
      <c r="F840" s="85"/>
    </row>
    <row r="841">
      <c r="A841" s="85"/>
      <c r="B841" s="85"/>
      <c r="C841" s="85"/>
      <c r="D841" s="85"/>
      <c r="E841" s="85"/>
      <c r="F841" s="85"/>
    </row>
    <row r="842">
      <c r="A842" s="85"/>
      <c r="B842" s="85"/>
      <c r="C842" s="85"/>
      <c r="D842" s="85"/>
      <c r="E842" s="85"/>
      <c r="F842" s="85"/>
    </row>
    <row r="843">
      <c r="A843" s="85"/>
      <c r="B843" s="85"/>
      <c r="C843" s="85"/>
      <c r="D843" s="85"/>
      <c r="E843" s="85"/>
      <c r="F843" s="85"/>
    </row>
    <row r="844">
      <c r="A844" s="85"/>
      <c r="B844" s="85"/>
      <c r="C844" s="85"/>
      <c r="D844" s="85"/>
      <c r="E844" s="85"/>
      <c r="F844" s="85"/>
    </row>
    <row r="845">
      <c r="A845" s="85"/>
      <c r="B845" s="85"/>
      <c r="C845" s="85"/>
      <c r="D845" s="85"/>
      <c r="E845" s="85"/>
      <c r="F845" s="85"/>
    </row>
    <row r="846">
      <c r="A846" s="85"/>
      <c r="B846" s="85"/>
      <c r="C846" s="85"/>
      <c r="D846" s="85"/>
      <c r="E846" s="85"/>
      <c r="F846" s="85"/>
    </row>
    <row r="847">
      <c r="A847" s="85"/>
      <c r="B847" s="85"/>
      <c r="C847" s="85"/>
      <c r="D847" s="85"/>
      <c r="E847" s="85"/>
      <c r="F847" s="85"/>
    </row>
    <row r="848">
      <c r="A848" s="85"/>
      <c r="B848" s="85"/>
      <c r="C848" s="85"/>
      <c r="D848" s="85"/>
      <c r="E848" s="85"/>
      <c r="F848" s="85"/>
    </row>
    <row r="849">
      <c r="A849" s="85"/>
      <c r="B849" s="85"/>
      <c r="C849" s="85"/>
      <c r="D849" s="85"/>
      <c r="E849" s="85"/>
      <c r="F849" s="85"/>
    </row>
    <row r="850">
      <c r="A850" s="85"/>
      <c r="B850" s="85"/>
      <c r="C850" s="85"/>
      <c r="D850" s="85"/>
      <c r="E850" s="85"/>
      <c r="F850" s="85"/>
    </row>
    <row r="851">
      <c r="A851" s="85"/>
      <c r="B851" s="85"/>
      <c r="C851" s="85"/>
      <c r="D851" s="85"/>
      <c r="E851" s="85"/>
      <c r="F851" s="85"/>
    </row>
    <row r="852">
      <c r="A852" s="85"/>
      <c r="B852" s="85"/>
      <c r="C852" s="85"/>
      <c r="D852" s="85"/>
      <c r="E852" s="85"/>
      <c r="F852" s="85"/>
    </row>
    <row r="853">
      <c r="A853" s="85"/>
      <c r="B853" s="85"/>
      <c r="C853" s="85"/>
      <c r="D853" s="85"/>
      <c r="E853" s="85"/>
      <c r="F853" s="85"/>
    </row>
    <row r="854">
      <c r="A854" s="85"/>
      <c r="B854" s="85"/>
      <c r="C854" s="85"/>
      <c r="D854" s="85"/>
      <c r="E854" s="85"/>
      <c r="F854" s="85"/>
    </row>
    <row r="855">
      <c r="A855" s="85"/>
      <c r="B855" s="85"/>
      <c r="C855" s="85"/>
      <c r="D855" s="85"/>
      <c r="E855" s="85"/>
      <c r="F855" s="85"/>
    </row>
    <row r="856">
      <c r="A856" s="85"/>
      <c r="B856" s="85"/>
      <c r="C856" s="85"/>
      <c r="D856" s="85"/>
      <c r="E856" s="85"/>
      <c r="F856" s="85"/>
    </row>
    <row r="857">
      <c r="A857" s="85"/>
      <c r="B857" s="85"/>
      <c r="C857" s="85"/>
      <c r="D857" s="85"/>
      <c r="E857" s="85"/>
      <c r="F857" s="85"/>
    </row>
    <row r="858">
      <c r="A858" s="85"/>
      <c r="B858" s="85"/>
      <c r="C858" s="85"/>
      <c r="D858" s="85"/>
      <c r="E858" s="85"/>
      <c r="F858" s="85"/>
    </row>
    <row r="859">
      <c r="A859" s="85"/>
      <c r="B859" s="85"/>
      <c r="C859" s="85"/>
      <c r="D859" s="85"/>
      <c r="E859" s="85"/>
      <c r="F859" s="85"/>
    </row>
    <row r="860">
      <c r="A860" s="85"/>
      <c r="B860" s="85"/>
      <c r="C860" s="85"/>
      <c r="D860" s="85"/>
      <c r="E860" s="85"/>
      <c r="F860" s="85"/>
    </row>
    <row r="861">
      <c r="A861" s="85"/>
      <c r="B861" s="85"/>
      <c r="C861" s="85"/>
      <c r="D861" s="85"/>
      <c r="E861" s="85"/>
      <c r="F861" s="85"/>
    </row>
    <row r="862">
      <c r="A862" s="85"/>
      <c r="B862" s="85"/>
      <c r="C862" s="85"/>
      <c r="D862" s="85"/>
      <c r="E862" s="85"/>
      <c r="F862" s="85"/>
    </row>
    <row r="863">
      <c r="A863" s="85"/>
      <c r="B863" s="85"/>
      <c r="C863" s="85"/>
      <c r="D863" s="85"/>
      <c r="E863" s="85"/>
      <c r="F863" s="85"/>
    </row>
    <row r="864">
      <c r="A864" s="85"/>
      <c r="B864" s="85"/>
      <c r="C864" s="85"/>
      <c r="D864" s="85"/>
      <c r="E864" s="85"/>
      <c r="F864" s="85"/>
    </row>
    <row r="865">
      <c r="A865" s="85"/>
      <c r="B865" s="85"/>
      <c r="C865" s="85"/>
      <c r="D865" s="85"/>
      <c r="E865" s="85"/>
      <c r="F865" s="85"/>
    </row>
    <row r="866">
      <c r="A866" s="85"/>
      <c r="B866" s="85"/>
      <c r="C866" s="85"/>
      <c r="D866" s="85"/>
      <c r="E866" s="85"/>
      <c r="F866" s="85"/>
    </row>
    <row r="867">
      <c r="A867" s="85"/>
      <c r="B867" s="85"/>
      <c r="C867" s="85"/>
      <c r="D867" s="85"/>
      <c r="E867" s="85"/>
      <c r="F867" s="85"/>
    </row>
    <row r="868">
      <c r="A868" s="85"/>
      <c r="B868" s="85"/>
      <c r="C868" s="85"/>
      <c r="D868" s="85"/>
      <c r="E868" s="85"/>
      <c r="F868" s="85"/>
    </row>
    <row r="869">
      <c r="A869" s="85"/>
      <c r="B869" s="85"/>
      <c r="C869" s="85"/>
      <c r="D869" s="85"/>
      <c r="E869" s="85"/>
      <c r="F869" s="85"/>
    </row>
    <row r="870">
      <c r="A870" s="85"/>
      <c r="B870" s="85"/>
      <c r="C870" s="85"/>
      <c r="D870" s="85"/>
      <c r="E870" s="85"/>
      <c r="F870" s="85"/>
    </row>
    <row r="871">
      <c r="A871" s="85"/>
      <c r="B871" s="85"/>
      <c r="C871" s="85"/>
      <c r="D871" s="85"/>
      <c r="E871" s="85"/>
      <c r="F871" s="85"/>
    </row>
    <row r="872">
      <c r="A872" s="85"/>
      <c r="B872" s="85"/>
      <c r="C872" s="85"/>
      <c r="D872" s="85"/>
      <c r="E872" s="85"/>
      <c r="F872" s="85"/>
    </row>
    <row r="873">
      <c r="A873" s="85"/>
      <c r="B873" s="85"/>
      <c r="C873" s="85"/>
      <c r="D873" s="85"/>
      <c r="E873" s="85"/>
      <c r="F873" s="85"/>
    </row>
    <row r="874">
      <c r="A874" s="85"/>
      <c r="B874" s="85"/>
      <c r="C874" s="85"/>
      <c r="D874" s="85"/>
      <c r="E874" s="85"/>
      <c r="F874" s="85"/>
    </row>
    <row r="875">
      <c r="A875" s="85"/>
      <c r="B875" s="85"/>
      <c r="C875" s="85"/>
      <c r="D875" s="85"/>
      <c r="E875" s="85"/>
      <c r="F875" s="85"/>
    </row>
    <row r="876">
      <c r="A876" s="85"/>
      <c r="B876" s="85"/>
      <c r="C876" s="85"/>
      <c r="D876" s="85"/>
      <c r="E876" s="85"/>
      <c r="F876" s="85"/>
    </row>
    <row r="877">
      <c r="A877" s="85"/>
      <c r="B877" s="85"/>
      <c r="C877" s="85"/>
      <c r="D877" s="85"/>
      <c r="E877" s="85"/>
      <c r="F877" s="85"/>
    </row>
    <row r="878">
      <c r="A878" s="85"/>
      <c r="B878" s="85"/>
      <c r="C878" s="85"/>
      <c r="D878" s="85"/>
      <c r="E878" s="85"/>
      <c r="F878" s="85"/>
    </row>
    <row r="879">
      <c r="A879" s="85"/>
      <c r="B879" s="85"/>
      <c r="C879" s="85"/>
      <c r="D879" s="85"/>
      <c r="E879" s="85"/>
      <c r="F879" s="85"/>
    </row>
    <row r="880">
      <c r="A880" s="85"/>
      <c r="B880" s="85"/>
      <c r="C880" s="85"/>
      <c r="D880" s="85"/>
      <c r="E880" s="85"/>
      <c r="F880" s="85"/>
    </row>
    <row r="881">
      <c r="A881" s="85"/>
      <c r="B881" s="85"/>
      <c r="C881" s="85"/>
      <c r="D881" s="85"/>
      <c r="E881" s="85"/>
      <c r="F881" s="85"/>
    </row>
    <row r="882">
      <c r="A882" s="85"/>
      <c r="B882" s="85"/>
      <c r="C882" s="85"/>
      <c r="D882" s="85"/>
      <c r="E882" s="85"/>
      <c r="F882" s="85"/>
    </row>
    <row r="883">
      <c r="A883" s="85"/>
      <c r="B883" s="85"/>
      <c r="C883" s="85"/>
      <c r="D883" s="85"/>
      <c r="E883" s="85"/>
      <c r="F883" s="85"/>
    </row>
    <row r="884">
      <c r="A884" s="85"/>
      <c r="B884" s="85"/>
      <c r="C884" s="85"/>
      <c r="D884" s="85"/>
      <c r="E884" s="85"/>
      <c r="F884" s="85"/>
    </row>
    <row r="885">
      <c r="A885" s="85"/>
      <c r="B885" s="85"/>
      <c r="C885" s="85"/>
      <c r="D885" s="85"/>
      <c r="E885" s="85"/>
      <c r="F885" s="85"/>
    </row>
    <row r="886">
      <c r="A886" s="85"/>
      <c r="B886" s="85"/>
      <c r="C886" s="85"/>
      <c r="D886" s="85"/>
      <c r="E886" s="85"/>
      <c r="F886" s="85"/>
    </row>
    <row r="887">
      <c r="A887" s="85"/>
      <c r="B887" s="85"/>
      <c r="C887" s="85"/>
      <c r="D887" s="85"/>
      <c r="E887" s="85"/>
      <c r="F887" s="85"/>
    </row>
    <row r="888">
      <c r="A888" s="85"/>
      <c r="B888" s="85"/>
      <c r="C888" s="85"/>
      <c r="D888" s="85"/>
      <c r="E888" s="85"/>
      <c r="F888" s="85"/>
    </row>
    <row r="889">
      <c r="A889" s="85"/>
      <c r="B889" s="85"/>
      <c r="C889" s="85"/>
      <c r="D889" s="85"/>
      <c r="E889" s="85"/>
      <c r="F889" s="85"/>
    </row>
    <row r="890">
      <c r="A890" s="85"/>
      <c r="B890" s="85"/>
      <c r="C890" s="85"/>
      <c r="D890" s="85"/>
      <c r="E890" s="85"/>
      <c r="F890" s="85"/>
    </row>
    <row r="891">
      <c r="A891" s="85"/>
      <c r="B891" s="85"/>
      <c r="C891" s="85"/>
      <c r="D891" s="85"/>
      <c r="E891" s="85"/>
      <c r="F891" s="85"/>
    </row>
    <row r="892">
      <c r="A892" s="85"/>
      <c r="B892" s="85"/>
      <c r="C892" s="85"/>
      <c r="D892" s="85"/>
      <c r="E892" s="85"/>
      <c r="F892" s="85"/>
    </row>
    <row r="893">
      <c r="A893" s="85"/>
      <c r="B893" s="85"/>
      <c r="C893" s="85"/>
      <c r="D893" s="85"/>
      <c r="E893" s="85"/>
      <c r="F893" s="85"/>
    </row>
    <row r="894">
      <c r="A894" s="85"/>
      <c r="B894" s="85"/>
      <c r="C894" s="85"/>
      <c r="D894" s="85"/>
      <c r="E894" s="85"/>
      <c r="F894" s="85"/>
    </row>
    <row r="895">
      <c r="A895" s="85"/>
      <c r="B895" s="85"/>
      <c r="C895" s="85"/>
      <c r="D895" s="85"/>
      <c r="E895" s="85"/>
      <c r="F895" s="85"/>
    </row>
    <row r="896">
      <c r="A896" s="85"/>
      <c r="B896" s="85"/>
      <c r="C896" s="85"/>
      <c r="D896" s="85"/>
      <c r="E896" s="85"/>
      <c r="F896" s="85"/>
    </row>
    <row r="897">
      <c r="A897" s="85"/>
      <c r="B897" s="85"/>
      <c r="C897" s="85"/>
      <c r="D897" s="85"/>
      <c r="E897" s="85"/>
      <c r="F897" s="85"/>
    </row>
    <row r="898">
      <c r="A898" s="85"/>
      <c r="B898" s="85"/>
      <c r="C898" s="85"/>
      <c r="D898" s="85"/>
      <c r="E898" s="85"/>
      <c r="F898" s="85"/>
    </row>
    <row r="899">
      <c r="A899" s="85"/>
      <c r="B899" s="85"/>
      <c r="C899" s="85"/>
      <c r="D899" s="85"/>
      <c r="E899" s="85"/>
      <c r="F899" s="85"/>
    </row>
    <row r="900">
      <c r="A900" s="85"/>
      <c r="B900" s="85"/>
      <c r="C900" s="85"/>
      <c r="D900" s="85"/>
      <c r="E900" s="85"/>
      <c r="F900" s="85"/>
    </row>
    <row r="901">
      <c r="A901" s="85"/>
      <c r="B901" s="85"/>
      <c r="C901" s="85"/>
      <c r="D901" s="85"/>
      <c r="E901" s="85"/>
      <c r="F901" s="85"/>
    </row>
    <row r="902">
      <c r="A902" s="85"/>
      <c r="B902" s="85"/>
      <c r="C902" s="85"/>
      <c r="D902" s="85"/>
      <c r="E902" s="85"/>
      <c r="F902" s="85"/>
    </row>
    <row r="903">
      <c r="A903" s="85"/>
      <c r="B903" s="85"/>
      <c r="C903" s="85"/>
      <c r="D903" s="85"/>
      <c r="E903" s="85"/>
      <c r="F903" s="85"/>
    </row>
    <row r="904">
      <c r="A904" s="85"/>
      <c r="B904" s="85"/>
      <c r="C904" s="85"/>
      <c r="D904" s="85"/>
      <c r="E904" s="85"/>
      <c r="F904" s="85"/>
    </row>
    <row r="905">
      <c r="A905" s="85"/>
      <c r="B905" s="85"/>
      <c r="C905" s="85"/>
      <c r="D905" s="85"/>
      <c r="E905" s="85"/>
      <c r="F905" s="85"/>
    </row>
    <row r="906">
      <c r="A906" s="85"/>
      <c r="B906" s="85"/>
      <c r="C906" s="85"/>
      <c r="D906" s="85"/>
      <c r="E906" s="85"/>
      <c r="F906" s="85"/>
    </row>
    <row r="907">
      <c r="A907" s="85"/>
      <c r="B907" s="85"/>
      <c r="C907" s="85"/>
      <c r="D907" s="85"/>
      <c r="E907" s="85"/>
      <c r="F907" s="85"/>
    </row>
    <row r="908">
      <c r="A908" s="85"/>
      <c r="B908" s="85"/>
      <c r="C908" s="85"/>
      <c r="D908" s="85"/>
      <c r="E908" s="85"/>
      <c r="F908" s="85"/>
    </row>
    <row r="909">
      <c r="A909" s="85"/>
      <c r="B909" s="85"/>
      <c r="C909" s="85"/>
      <c r="D909" s="85"/>
      <c r="E909" s="85"/>
      <c r="F909" s="85"/>
    </row>
    <row r="910">
      <c r="A910" s="85"/>
      <c r="B910" s="85"/>
      <c r="C910" s="85"/>
      <c r="D910" s="85"/>
      <c r="E910" s="85"/>
      <c r="F910" s="85"/>
    </row>
    <row r="911">
      <c r="A911" s="85"/>
      <c r="B911" s="85"/>
      <c r="C911" s="85"/>
      <c r="D911" s="85"/>
      <c r="E911" s="85"/>
      <c r="F911" s="85"/>
    </row>
    <row r="912">
      <c r="A912" s="85"/>
      <c r="B912" s="85"/>
      <c r="C912" s="85"/>
      <c r="D912" s="85"/>
      <c r="E912" s="85"/>
      <c r="F912" s="85"/>
    </row>
    <row r="913">
      <c r="A913" s="85"/>
      <c r="B913" s="85"/>
      <c r="C913" s="85"/>
      <c r="D913" s="85"/>
      <c r="E913" s="85"/>
      <c r="F913" s="85"/>
    </row>
    <row r="914">
      <c r="A914" s="85"/>
      <c r="B914" s="85"/>
      <c r="C914" s="85"/>
      <c r="D914" s="85"/>
      <c r="E914" s="85"/>
      <c r="F914" s="85"/>
    </row>
    <row r="915">
      <c r="A915" s="85"/>
      <c r="B915" s="85"/>
      <c r="C915" s="85"/>
      <c r="D915" s="85"/>
      <c r="E915" s="85"/>
      <c r="F915" s="85"/>
    </row>
    <row r="916">
      <c r="A916" s="85"/>
      <c r="B916" s="85"/>
      <c r="C916" s="85"/>
      <c r="D916" s="85"/>
      <c r="E916" s="85"/>
      <c r="F916" s="85"/>
    </row>
    <row r="917">
      <c r="A917" s="85"/>
      <c r="B917" s="85"/>
      <c r="C917" s="85"/>
      <c r="D917" s="85"/>
      <c r="E917" s="85"/>
      <c r="F917" s="85"/>
    </row>
    <row r="918">
      <c r="A918" s="85"/>
      <c r="B918" s="85"/>
      <c r="C918" s="85"/>
      <c r="D918" s="85"/>
      <c r="E918" s="85"/>
      <c r="F918" s="85"/>
    </row>
    <row r="919">
      <c r="A919" s="85"/>
      <c r="B919" s="85"/>
      <c r="C919" s="85"/>
      <c r="D919" s="85"/>
      <c r="E919" s="85"/>
      <c r="F919" s="85"/>
    </row>
    <row r="920">
      <c r="A920" s="85"/>
      <c r="B920" s="85"/>
      <c r="C920" s="85"/>
      <c r="D920" s="85"/>
      <c r="E920" s="85"/>
      <c r="F920" s="85"/>
    </row>
    <row r="921">
      <c r="A921" s="85"/>
      <c r="B921" s="85"/>
      <c r="C921" s="85"/>
      <c r="D921" s="85"/>
      <c r="E921" s="85"/>
      <c r="F921" s="85"/>
    </row>
    <row r="922">
      <c r="A922" s="85"/>
      <c r="B922" s="85"/>
      <c r="C922" s="85"/>
      <c r="D922" s="85"/>
      <c r="E922" s="85"/>
      <c r="F922" s="85"/>
    </row>
    <row r="923">
      <c r="A923" s="85"/>
      <c r="B923" s="85"/>
      <c r="C923" s="85"/>
      <c r="D923" s="85"/>
      <c r="E923" s="85"/>
      <c r="F923" s="85"/>
    </row>
    <row r="924">
      <c r="A924" s="85"/>
      <c r="B924" s="85"/>
      <c r="C924" s="85"/>
      <c r="D924" s="85"/>
      <c r="E924" s="85"/>
      <c r="F924" s="85"/>
    </row>
    <row r="925">
      <c r="A925" s="85"/>
      <c r="B925" s="85"/>
      <c r="C925" s="85"/>
      <c r="D925" s="85"/>
      <c r="E925" s="85"/>
      <c r="F925" s="85"/>
    </row>
    <row r="926">
      <c r="A926" s="85"/>
      <c r="B926" s="85"/>
      <c r="C926" s="85"/>
      <c r="D926" s="85"/>
      <c r="E926" s="85"/>
      <c r="F926" s="85"/>
    </row>
    <row r="927">
      <c r="A927" s="85"/>
      <c r="B927" s="85"/>
      <c r="C927" s="85"/>
      <c r="D927" s="85"/>
      <c r="E927" s="85"/>
      <c r="F927" s="85"/>
    </row>
    <row r="928">
      <c r="A928" s="85"/>
      <c r="B928" s="85"/>
      <c r="C928" s="85"/>
      <c r="D928" s="85"/>
      <c r="E928" s="85"/>
      <c r="F928" s="85"/>
    </row>
    <row r="929">
      <c r="A929" s="85"/>
      <c r="B929" s="85"/>
      <c r="C929" s="85"/>
      <c r="D929" s="85"/>
      <c r="E929" s="85"/>
      <c r="F929" s="85"/>
    </row>
    <row r="930">
      <c r="A930" s="85"/>
      <c r="B930" s="85"/>
      <c r="C930" s="85"/>
      <c r="D930" s="85"/>
      <c r="E930" s="85"/>
      <c r="F930" s="85"/>
    </row>
    <row r="931">
      <c r="A931" s="85"/>
      <c r="B931" s="85"/>
      <c r="C931" s="85"/>
      <c r="D931" s="85"/>
      <c r="E931" s="85"/>
      <c r="F931" s="85"/>
    </row>
    <row r="932">
      <c r="A932" s="85"/>
      <c r="B932" s="85"/>
      <c r="C932" s="85"/>
      <c r="D932" s="85"/>
      <c r="E932" s="85"/>
      <c r="F932" s="85"/>
    </row>
    <row r="933">
      <c r="A933" s="85"/>
      <c r="B933" s="85"/>
      <c r="C933" s="85"/>
      <c r="D933" s="85"/>
      <c r="E933" s="85"/>
      <c r="F933" s="85"/>
    </row>
    <row r="934">
      <c r="A934" s="85"/>
      <c r="B934" s="85"/>
      <c r="C934" s="85"/>
      <c r="D934" s="85"/>
      <c r="E934" s="85"/>
      <c r="F934" s="85"/>
    </row>
    <row r="935">
      <c r="A935" s="85"/>
      <c r="B935" s="85"/>
      <c r="C935" s="85"/>
      <c r="D935" s="85"/>
      <c r="E935" s="85"/>
      <c r="F935" s="85"/>
    </row>
    <row r="936">
      <c r="A936" s="85"/>
      <c r="B936" s="85"/>
      <c r="C936" s="85"/>
      <c r="D936" s="85"/>
      <c r="E936" s="85"/>
      <c r="F936" s="85"/>
    </row>
    <row r="937">
      <c r="A937" s="85"/>
      <c r="B937" s="85"/>
      <c r="C937" s="85"/>
      <c r="D937" s="85"/>
      <c r="E937" s="85"/>
      <c r="F937" s="85"/>
    </row>
    <row r="938">
      <c r="A938" s="85"/>
      <c r="B938" s="85"/>
      <c r="C938" s="85"/>
      <c r="D938" s="85"/>
      <c r="E938" s="85"/>
      <c r="F938" s="85"/>
    </row>
    <row r="939">
      <c r="A939" s="85"/>
      <c r="B939" s="85"/>
      <c r="C939" s="85"/>
      <c r="D939" s="85"/>
      <c r="E939" s="85"/>
      <c r="F939" s="85"/>
    </row>
    <row r="940">
      <c r="A940" s="85"/>
      <c r="B940" s="85"/>
      <c r="C940" s="85"/>
      <c r="D940" s="85"/>
      <c r="E940" s="85"/>
      <c r="F940" s="85"/>
    </row>
    <row r="941">
      <c r="A941" s="85"/>
      <c r="B941" s="85"/>
      <c r="C941" s="85"/>
      <c r="D941" s="85"/>
      <c r="E941" s="85"/>
      <c r="F941" s="85"/>
    </row>
    <row r="942">
      <c r="A942" s="85"/>
      <c r="B942" s="85"/>
      <c r="C942" s="85"/>
      <c r="D942" s="85"/>
      <c r="E942" s="85"/>
      <c r="F942" s="85"/>
    </row>
    <row r="943">
      <c r="A943" s="85"/>
      <c r="B943" s="85"/>
      <c r="C943" s="85"/>
      <c r="D943" s="85"/>
      <c r="E943" s="85"/>
      <c r="F943" s="85"/>
    </row>
    <row r="944">
      <c r="A944" s="85"/>
      <c r="B944" s="85"/>
      <c r="C944" s="85"/>
      <c r="D944" s="85"/>
      <c r="E944" s="85"/>
      <c r="F944" s="85"/>
    </row>
    <row r="945">
      <c r="A945" s="85"/>
      <c r="B945" s="85"/>
      <c r="C945" s="85"/>
      <c r="D945" s="85"/>
      <c r="E945" s="85"/>
      <c r="F945" s="85"/>
    </row>
    <row r="946">
      <c r="A946" s="85"/>
      <c r="B946" s="85"/>
      <c r="C946" s="85"/>
      <c r="D946" s="85"/>
      <c r="E946" s="85"/>
      <c r="F946" s="85"/>
    </row>
    <row r="947">
      <c r="A947" s="85"/>
      <c r="B947" s="85"/>
      <c r="C947" s="85"/>
      <c r="D947" s="85"/>
      <c r="E947" s="85"/>
      <c r="F947" s="85"/>
    </row>
    <row r="948">
      <c r="A948" s="85"/>
      <c r="B948" s="85"/>
      <c r="C948" s="85"/>
      <c r="D948" s="85"/>
      <c r="E948" s="85"/>
      <c r="F948" s="85"/>
    </row>
    <row r="949">
      <c r="A949" s="85"/>
      <c r="B949" s="85"/>
      <c r="C949" s="85"/>
      <c r="D949" s="85"/>
      <c r="E949" s="85"/>
      <c r="F949" s="85"/>
    </row>
    <row r="950">
      <c r="A950" s="85"/>
      <c r="B950" s="85"/>
      <c r="C950" s="85"/>
      <c r="D950" s="85"/>
      <c r="E950" s="85"/>
      <c r="F950" s="85"/>
    </row>
    <row r="951">
      <c r="A951" s="85"/>
      <c r="B951" s="85"/>
      <c r="C951" s="85"/>
      <c r="D951" s="85"/>
      <c r="E951" s="85"/>
      <c r="F951" s="85"/>
    </row>
    <row r="952">
      <c r="A952" s="85"/>
      <c r="B952" s="85"/>
      <c r="C952" s="85"/>
      <c r="D952" s="85"/>
      <c r="E952" s="85"/>
      <c r="F952" s="85"/>
    </row>
    <row r="953">
      <c r="A953" s="85"/>
      <c r="B953" s="85"/>
      <c r="C953" s="85"/>
      <c r="D953" s="85"/>
      <c r="E953" s="85"/>
      <c r="F953" s="85"/>
    </row>
    <row r="954">
      <c r="A954" s="85"/>
      <c r="B954" s="85"/>
      <c r="C954" s="85"/>
      <c r="D954" s="85"/>
      <c r="E954" s="85"/>
      <c r="F954" s="85"/>
    </row>
    <row r="955">
      <c r="A955" s="85"/>
      <c r="B955" s="85"/>
      <c r="C955" s="85"/>
      <c r="D955" s="85"/>
      <c r="E955" s="85"/>
      <c r="F955" s="85"/>
    </row>
    <row r="956">
      <c r="A956" s="85"/>
      <c r="B956" s="85"/>
      <c r="C956" s="85"/>
      <c r="D956" s="85"/>
      <c r="E956" s="85"/>
      <c r="F956" s="85"/>
    </row>
    <row r="957">
      <c r="A957" s="85"/>
      <c r="B957" s="85"/>
      <c r="C957" s="85"/>
      <c r="D957" s="85"/>
      <c r="E957" s="85"/>
      <c r="F957" s="85"/>
    </row>
    <row r="958">
      <c r="A958" s="85"/>
      <c r="B958" s="85"/>
      <c r="C958" s="85"/>
      <c r="D958" s="85"/>
      <c r="E958" s="85"/>
      <c r="F958" s="85"/>
    </row>
    <row r="959">
      <c r="A959" s="85"/>
      <c r="B959" s="85"/>
      <c r="C959" s="85"/>
      <c r="D959" s="85"/>
      <c r="E959" s="85"/>
      <c r="F959" s="85"/>
    </row>
    <row r="960">
      <c r="A960" s="85"/>
      <c r="B960" s="85"/>
      <c r="C960" s="85"/>
      <c r="D960" s="85"/>
      <c r="E960" s="85"/>
      <c r="F960" s="85"/>
    </row>
    <row r="961">
      <c r="A961" s="85"/>
      <c r="B961" s="85"/>
      <c r="C961" s="85"/>
      <c r="D961" s="85"/>
      <c r="E961" s="85"/>
      <c r="F961" s="85"/>
    </row>
    <row r="962">
      <c r="A962" s="85"/>
      <c r="B962" s="85"/>
      <c r="C962" s="85"/>
      <c r="D962" s="85"/>
      <c r="E962" s="85"/>
      <c r="F962" s="85"/>
    </row>
    <row r="963">
      <c r="A963" s="85"/>
      <c r="B963" s="85"/>
      <c r="C963" s="85"/>
      <c r="D963" s="85"/>
      <c r="E963" s="85"/>
      <c r="F963" s="85"/>
    </row>
    <row r="964">
      <c r="A964" s="85"/>
      <c r="B964" s="85"/>
      <c r="C964" s="85"/>
      <c r="D964" s="85"/>
      <c r="E964" s="85"/>
      <c r="F964" s="85"/>
    </row>
    <row r="965">
      <c r="A965" s="85"/>
      <c r="B965" s="85"/>
      <c r="C965" s="85"/>
      <c r="D965" s="85"/>
      <c r="E965" s="85"/>
      <c r="F965" s="85"/>
    </row>
    <row r="966">
      <c r="A966" s="85"/>
      <c r="B966" s="85"/>
      <c r="C966" s="85"/>
      <c r="D966" s="85"/>
      <c r="E966" s="85"/>
      <c r="F966" s="85"/>
    </row>
    <row r="967">
      <c r="A967" s="85"/>
      <c r="B967" s="85"/>
      <c r="C967" s="85"/>
      <c r="D967" s="85"/>
      <c r="E967" s="85"/>
      <c r="F967" s="85"/>
    </row>
    <row r="968">
      <c r="A968" s="85"/>
      <c r="B968" s="85"/>
      <c r="C968" s="85"/>
      <c r="D968" s="85"/>
      <c r="E968" s="85"/>
      <c r="F968" s="85"/>
    </row>
    <row r="969">
      <c r="A969" s="85"/>
      <c r="B969" s="85"/>
      <c r="C969" s="85"/>
      <c r="D969" s="85"/>
      <c r="E969" s="85"/>
      <c r="F969" s="85"/>
    </row>
    <row r="970">
      <c r="A970" s="85"/>
      <c r="B970" s="85"/>
      <c r="C970" s="85"/>
      <c r="D970" s="85"/>
      <c r="E970" s="85"/>
      <c r="F970" s="85"/>
    </row>
    <row r="971">
      <c r="A971" s="85"/>
      <c r="B971" s="85"/>
      <c r="C971" s="85"/>
      <c r="D971" s="85"/>
      <c r="E971" s="85"/>
      <c r="F971" s="85"/>
    </row>
    <row r="972">
      <c r="A972" s="85"/>
      <c r="B972" s="85"/>
      <c r="C972" s="85"/>
      <c r="D972" s="85"/>
      <c r="E972" s="85"/>
      <c r="F972" s="85"/>
    </row>
    <row r="973">
      <c r="A973" s="85"/>
      <c r="B973" s="85"/>
      <c r="C973" s="85"/>
      <c r="D973" s="85"/>
      <c r="E973" s="85"/>
      <c r="F973" s="85"/>
    </row>
    <row r="974">
      <c r="A974" s="85"/>
      <c r="B974" s="85"/>
      <c r="C974" s="85"/>
      <c r="D974" s="85"/>
      <c r="E974" s="85"/>
      <c r="F974" s="85"/>
    </row>
    <row r="975">
      <c r="A975" s="85"/>
      <c r="B975" s="85"/>
      <c r="C975" s="85"/>
      <c r="D975" s="85"/>
      <c r="E975" s="85"/>
      <c r="F975" s="85"/>
    </row>
    <row r="976">
      <c r="A976" s="85"/>
      <c r="B976" s="85"/>
      <c r="C976" s="85"/>
      <c r="D976" s="85"/>
      <c r="E976" s="85"/>
      <c r="F976" s="85"/>
    </row>
    <row r="977">
      <c r="A977" s="85"/>
      <c r="B977" s="85"/>
      <c r="C977" s="85"/>
      <c r="D977" s="85"/>
      <c r="E977" s="85"/>
      <c r="F977" s="85"/>
    </row>
    <row r="978">
      <c r="A978" s="85"/>
      <c r="B978" s="85"/>
      <c r="C978" s="85"/>
      <c r="D978" s="85"/>
      <c r="E978" s="85"/>
      <c r="F978" s="85"/>
    </row>
    <row r="979">
      <c r="A979" s="85"/>
      <c r="B979" s="85"/>
      <c r="C979" s="85"/>
      <c r="D979" s="85"/>
      <c r="E979" s="85"/>
      <c r="F979" s="85"/>
    </row>
    <row r="980">
      <c r="A980" s="85"/>
      <c r="B980" s="85"/>
      <c r="C980" s="85"/>
      <c r="D980" s="85"/>
      <c r="E980" s="85"/>
      <c r="F980" s="85"/>
    </row>
    <row r="981">
      <c r="A981" s="85"/>
      <c r="B981" s="85"/>
      <c r="C981" s="85"/>
      <c r="D981" s="85"/>
      <c r="E981" s="85"/>
      <c r="F981" s="85"/>
    </row>
    <row r="982">
      <c r="A982" s="85"/>
      <c r="B982" s="85"/>
      <c r="C982" s="85"/>
      <c r="D982" s="85"/>
      <c r="E982" s="85"/>
      <c r="F982" s="85"/>
    </row>
    <row r="983">
      <c r="A983" s="85"/>
      <c r="B983" s="85"/>
      <c r="C983" s="85"/>
      <c r="D983" s="85"/>
      <c r="E983" s="85"/>
      <c r="F983" s="85"/>
    </row>
    <row r="984">
      <c r="A984" s="85"/>
      <c r="B984" s="85"/>
      <c r="C984" s="85"/>
      <c r="D984" s="85"/>
      <c r="E984" s="85"/>
      <c r="F984" s="85"/>
    </row>
    <row r="985">
      <c r="A985" s="85"/>
      <c r="B985" s="85"/>
      <c r="C985" s="85"/>
      <c r="D985" s="85"/>
      <c r="E985" s="85"/>
      <c r="F985" s="85"/>
    </row>
    <row r="986">
      <c r="A986" s="85"/>
      <c r="B986" s="85"/>
      <c r="C986" s="85"/>
      <c r="D986" s="85"/>
      <c r="E986" s="85"/>
      <c r="F986" s="85"/>
    </row>
    <row r="987">
      <c r="A987" s="85"/>
      <c r="B987" s="85"/>
      <c r="C987" s="85"/>
      <c r="D987" s="85"/>
      <c r="E987" s="85"/>
      <c r="F987" s="85"/>
    </row>
    <row r="988">
      <c r="A988" s="85"/>
      <c r="B988" s="85"/>
      <c r="C988" s="85"/>
      <c r="D988" s="85"/>
      <c r="E988" s="85"/>
      <c r="F988" s="85"/>
    </row>
    <row r="989">
      <c r="A989" s="85"/>
      <c r="B989" s="85"/>
      <c r="C989" s="85"/>
      <c r="D989" s="85"/>
      <c r="E989" s="85"/>
      <c r="F989" s="85"/>
    </row>
    <row r="990">
      <c r="A990" s="85"/>
      <c r="B990" s="85"/>
      <c r="C990" s="85"/>
      <c r="D990" s="85"/>
      <c r="E990" s="85"/>
      <c r="F990" s="85"/>
    </row>
    <row r="991">
      <c r="B991" s="85"/>
      <c r="C991" s="85"/>
      <c r="D991" s="85"/>
      <c r="E991" s="85"/>
      <c r="F991" s="85"/>
    </row>
    <row r="992">
      <c r="B992" s="85"/>
      <c r="C992" s="85"/>
      <c r="D992" s="85"/>
      <c r="E992" s="85"/>
      <c r="F992" s="85"/>
    </row>
    <row r="993">
      <c r="B993" s="85"/>
      <c r="C993" s="85"/>
      <c r="D993" s="85"/>
      <c r="E993" s="85"/>
      <c r="F993" s="85"/>
    </row>
    <row r="994">
      <c r="B994" s="85"/>
      <c r="C994" s="85"/>
      <c r="D994" s="85"/>
      <c r="E994" s="85"/>
      <c r="F994" s="85"/>
    </row>
    <row r="995">
      <c r="B995" s="85"/>
      <c r="C995" s="85"/>
      <c r="D995" s="85"/>
      <c r="E995" s="85"/>
      <c r="F995" s="85"/>
    </row>
    <row r="996">
      <c r="B996" s="85"/>
      <c r="C996" s="85"/>
      <c r="D996" s="85"/>
      <c r="E996" s="85"/>
      <c r="F996" s="85"/>
    </row>
    <row r="997">
      <c r="B997" s="85"/>
      <c r="C997" s="85"/>
      <c r="D997" s="85"/>
      <c r="E997" s="85"/>
      <c r="F997" s="85"/>
    </row>
    <row r="998">
      <c r="B998" s="85"/>
      <c r="C998" s="85"/>
      <c r="D998" s="85"/>
      <c r="E998" s="85"/>
      <c r="F998" s="85"/>
    </row>
    <row r="999">
      <c r="B999" s="85"/>
      <c r="C999" s="85"/>
      <c r="D999" s="85"/>
      <c r="E999" s="85"/>
      <c r="F999" s="85"/>
    </row>
    <row r="1000">
      <c r="B1000" s="85"/>
      <c r="C1000" s="85"/>
      <c r="D1000" s="85"/>
      <c r="E1000" s="85"/>
      <c r="F1000" s="8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2007-12-18T10:15:28Z</dcterms:created>
  <dc:creator>Sergio Concha C.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 by">
    <vt:lpwstr>140.000000000000</vt:lpwstr>
  </property>
  <property fmtid="{D5CDD505-2E9C-101B-9397-08002B2CF9AE}" pid="3" name="Order">
    <vt:lpwstr>5900.00000000000</vt:lpwstr>
  </property>
  <property fmtid="{D5CDD505-2E9C-101B-9397-08002B2CF9AE}" pid="4" name="Fase de Proyecto">
    <vt:lpwstr>;#Concepción: Planificación;#Ejecución: Seguimiento;#</vt:lpwstr>
  </property>
  <property fmtid="{D5CDD505-2E9C-101B-9397-08002B2CF9AE}" pid="5" name="Resumen">
    <vt:lpwstr>Planilla excel con el listado de riesgos, problemas y control de cambios del proyecto.</vt:lpwstr>
  </property>
  <property fmtid="{D5CDD505-2E9C-101B-9397-08002B2CF9AE}" pid="6" name="ContentType">
    <vt:lpwstr>Documento</vt:lpwstr>
  </property>
  <property fmtid="{D5CDD505-2E9C-101B-9397-08002B2CF9AE}" pid="7" name="Val">
    <vt:lpwstr>1</vt:lpwstr>
  </property>
  <property fmtid="{D5CDD505-2E9C-101B-9397-08002B2CF9AE}" pid="8" name="_Status">
    <vt:lpwstr>Published</vt:lpwstr>
  </property>
  <property fmtid="{D5CDD505-2E9C-101B-9397-08002B2CF9AE}" pid="9" name="Process">
    <vt:lpwstr>PMO</vt:lpwstr>
  </property>
  <property fmtid="{D5CDD505-2E9C-101B-9397-08002B2CF9AE}" pid="10" name="Categotys">
    <vt:lpwstr>Templates</vt:lpwstr>
  </property>
  <property fmtid="{D5CDD505-2E9C-101B-9397-08002B2CF9AE}" pid="11" name="Document type">
    <vt:lpwstr>Template</vt:lpwstr>
  </property>
</Properties>
</file>